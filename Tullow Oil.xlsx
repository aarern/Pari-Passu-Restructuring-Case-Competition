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56a8ac95b515d8bd/Attachments/Desktop/Pari Passu Case Competition/01-Final Submission/"/>
    </mc:Choice>
  </mc:AlternateContent>
  <xr:revisionPtr revIDLastSave="99" documentId="8_{ABCCCFA9-1855-4018-BBC3-60CBFC9CA50E}" xr6:coauthVersionLast="47" xr6:coauthVersionMax="47" xr10:uidLastSave="{64A7CA5D-9D68-4222-8964-AEB7020C17F1}"/>
  <bookViews>
    <workbookView xWindow="1950" yWindow="-105" windowWidth="26010" windowHeight="20985" xr2:uid="{00000000-000D-0000-FFFF-FFFF00000000}"/>
  </bookViews>
  <sheets>
    <sheet name="Valuation Summary" sheetId="34" r:id="rId1"/>
    <sheet name="IS" sheetId="1" r:id="rId2"/>
    <sheet name="BS" sheetId="9" r:id="rId3"/>
    <sheet name="CFS" sheetId="10" r:id="rId4"/>
    <sheet name="NWC" sheetId="11" r:id="rId5"/>
    <sheet name="Debt Schedule" sheetId="21" r:id="rId6"/>
    <sheet name="Maturity Schedule" sheetId="23" r:id="rId7"/>
    <sheet name="DCF" sheetId="31" r:id="rId8"/>
    <sheet name="Liquidation Value" sheetId="33" r:id="rId9"/>
    <sheet name="Trading Comps" sheetId="12" r:id="rId10"/>
    <sheet name="Precedent Transactions " sheetId="15" r:id="rId11"/>
    <sheet name="Forecast Assumptions" sheetId="20" r:id="rId12"/>
    <sheet name="Revenue Build" sheetId="19" r:id="rId13"/>
    <sheet name="SOFR Forward Rate Curve" sheetId="30" r:id="rId14"/>
  </sheets>
  <definedNames>
    <definedName name="CIQWBGuid" hidden="1">"2cd8126d-26c3-430c-b7fa-a069e3a1fc62"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41666.7099189815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8">'Liquidation Value'!$D$4:$N$52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1" i="34" l="1"/>
  <c r="E34" i="34"/>
  <c r="X48" i="33"/>
  <c r="W48" i="33"/>
  <c r="V48" i="33"/>
  <c r="X46" i="33"/>
  <c r="W46" i="33"/>
  <c r="V46" i="33"/>
  <c r="X44" i="33"/>
  <c r="W44" i="33"/>
  <c r="V44" i="33"/>
  <c r="X42" i="33"/>
  <c r="W42" i="33"/>
  <c r="V42" i="33"/>
  <c r="X40" i="33"/>
  <c r="W40" i="33"/>
  <c r="V40" i="33"/>
  <c r="X38" i="33"/>
  <c r="W38" i="33"/>
  <c r="V38" i="33"/>
  <c r="X36" i="33"/>
  <c r="W36" i="33"/>
  <c r="V36" i="33"/>
  <c r="X34" i="33"/>
  <c r="W34" i="33"/>
  <c r="V34" i="33"/>
  <c r="X32" i="33"/>
  <c r="W32" i="33"/>
  <c r="V32" i="33"/>
  <c r="X30" i="33"/>
  <c r="W30" i="33"/>
  <c r="V30" i="33"/>
  <c r="X28" i="33"/>
  <c r="W28" i="33"/>
  <c r="V28" i="33"/>
  <c r="X26" i="33"/>
  <c r="W26" i="33"/>
  <c r="V26" i="33"/>
  <c r="X24" i="33"/>
  <c r="W24" i="33"/>
  <c r="V24" i="33"/>
  <c r="Z6" i="33"/>
  <c r="Z7" i="33"/>
  <c r="Z5" i="33"/>
  <c r="Y5" i="33" a="1"/>
  <c r="Y5" i="33" s="1"/>
  <c r="S19" i="33"/>
  <c r="S18" i="33"/>
  <c r="S17" i="33"/>
  <c r="S16" i="33"/>
  <c r="S15" i="33"/>
  <c r="S14" i="33"/>
  <c r="S13" i="33"/>
  <c r="T9" i="31"/>
  <c r="U2" i="31"/>
  <c r="J36" i="31"/>
  <c r="L36" i="31"/>
  <c r="L25" i="31"/>
  <c r="J25" i="31"/>
  <c r="I41" i="34"/>
  <c r="H41" i="34"/>
  <c r="G41" i="34"/>
  <c r="E27" i="34"/>
  <c r="E20" i="34"/>
  <c r="E56" i="1"/>
  <c r="F56" i="1"/>
  <c r="G56" i="1"/>
  <c r="H56" i="1"/>
  <c r="I56" i="1"/>
  <c r="D56" i="1"/>
  <c r="J9" i="1"/>
  <c r="J10" i="1"/>
  <c r="J7" i="10"/>
  <c r="T29" i="31"/>
  <c r="Q41" i="10"/>
  <c r="P41" i="10"/>
  <c r="O41" i="10"/>
  <c r="N41" i="10"/>
  <c r="M41" i="10"/>
  <c r="L41" i="10"/>
  <c r="K41" i="10"/>
  <c r="J41" i="10"/>
  <c r="J9" i="21"/>
  <c r="K9" i="21"/>
  <c r="L9" i="21"/>
  <c r="M9" i="21"/>
  <c r="N9" i="21"/>
  <c r="O9" i="21"/>
  <c r="P9" i="21"/>
  <c r="Q9" i="21"/>
  <c r="L20" i="21"/>
  <c r="M20" i="21" s="1"/>
  <c r="N20" i="21" s="1"/>
  <c r="O20" i="21" s="1"/>
  <c r="P20" i="21" s="1"/>
  <c r="Q20" i="21" s="1"/>
  <c r="L16" i="21"/>
  <c r="M16" i="21" s="1"/>
  <c r="N16" i="21" s="1"/>
  <c r="O16" i="21" s="1"/>
  <c r="P16" i="21" s="1"/>
  <c r="Q16" i="21" s="1"/>
  <c r="L17" i="21"/>
  <c r="M17" i="21" s="1"/>
  <c r="N17" i="21" s="1"/>
  <c r="O17" i="21" s="1"/>
  <c r="P17" i="21" s="1"/>
  <c r="Q17" i="21" s="1"/>
  <c r="L18" i="21"/>
  <c r="M18" i="21" s="1"/>
  <c r="N18" i="21" s="1"/>
  <c r="O18" i="21" s="1"/>
  <c r="P18" i="21" s="1"/>
  <c r="Q18" i="21" s="1"/>
  <c r="L19" i="21"/>
  <c r="M19" i="21" s="1"/>
  <c r="N19" i="21" s="1"/>
  <c r="O19" i="21" s="1"/>
  <c r="P19" i="21" s="1"/>
  <c r="Q19" i="21" s="1"/>
  <c r="L15" i="21"/>
  <c r="M15" i="21" s="1"/>
  <c r="N15" i="21" s="1"/>
  <c r="O15" i="21" s="1"/>
  <c r="P15" i="21" s="1"/>
  <c r="Q15" i="21" s="1"/>
  <c r="I11" i="23"/>
  <c r="J5" i="21"/>
  <c r="K28" i="1"/>
  <c r="J28" i="1"/>
  <c r="J75" i="1"/>
  <c r="L65" i="9"/>
  <c r="M65" i="9" s="1"/>
  <c r="N65" i="9" s="1"/>
  <c r="O65" i="9" s="1"/>
  <c r="P65" i="9" s="1"/>
  <c r="Q65" i="9" s="1"/>
  <c r="K65" i="9"/>
  <c r="X22" i="33"/>
  <c r="W22" i="33"/>
  <c r="V22" i="33"/>
  <c r="S11" i="33"/>
  <c r="T32" i="33" s="1"/>
  <c r="S10" i="33"/>
  <c r="S8" i="33"/>
  <c r="S26" i="33" s="1"/>
  <c r="U32" i="33"/>
  <c r="S32" i="33"/>
  <c r="T30" i="33"/>
  <c r="U30" i="33"/>
  <c r="S30" i="33"/>
  <c r="R48" i="33"/>
  <c r="R46" i="33"/>
  <c r="U26" i="33"/>
  <c r="R26" i="33"/>
  <c r="R28" i="33"/>
  <c r="R30" i="33"/>
  <c r="R32" i="33"/>
  <c r="R34" i="33"/>
  <c r="R36" i="33"/>
  <c r="R38" i="33"/>
  <c r="R40" i="33"/>
  <c r="R42" i="33"/>
  <c r="R44" i="33"/>
  <c r="R24" i="33"/>
  <c r="N18" i="33"/>
  <c r="M18" i="33"/>
  <c r="L18" i="33"/>
  <c r="N17" i="33"/>
  <c r="M17" i="33"/>
  <c r="L17" i="33"/>
  <c r="N10" i="33"/>
  <c r="M10" i="33"/>
  <c r="L10" i="33"/>
  <c r="M11" i="33"/>
  <c r="F34" i="33"/>
  <c r="F33" i="33"/>
  <c r="F32" i="33"/>
  <c r="F13" i="33"/>
  <c r="N13" i="33" s="1"/>
  <c r="F23" i="33"/>
  <c r="F24" i="33"/>
  <c r="F25" i="33"/>
  <c r="F22" i="33"/>
  <c r="F12" i="33"/>
  <c r="L12" i="33" s="1"/>
  <c r="F9" i="33"/>
  <c r="M9" i="33" s="1"/>
  <c r="D45" i="33"/>
  <c r="Q19" i="19"/>
  <c r="J9" i="19" a="1"/>
  <c r="J9" i="19" s="1"/>
  <c r="J8" i="19" a="1"/>
  <c r="J8" i="19" s="1"/>
  <c r="J13" i="19" s="1"/>
  <c r="K30" i="31"/>
  <c r="L30" i="31" s="1"/>
  <c r="V29" i="31"/>
  <c r="U29" i="31"/>
  <c r="U27" i="31"/>
  <c r="V27" i="31"/>
  <c r="T27" i="31"/>
  <c r="K28" i="31"/>
  <c r="L28" i="31" s="1"/>
  <c r="K36" i="31"/>
  <c r="M40" i="31"/>
  <c r="L40" i="31" s="1"/>
  <c r="M41" i="31"/>
  <c r="L41" i="31" s="1"/>
  <c r="M42" i="31"/>
  <c r="M43" i="31"/>
  <c r="L43" i="31" s="1"/>
  <c r="M44" i="31"/>
  <c r="L44" i="31" s="1"/>
  <c r="M45" i="31"/>
  <c r="L45" i="31" s="1"/>
  <c r="M46" i="31"/>
  <c r="L46" i="31" s="1"/>
  <c r="K33" i="31"/>
  <c r="L33" i="31" s="1"/>
  <c r="K34" i="31"/>
  <c r="J34" i="31" s="1"/>
  <c r="K29" i="31"/>
  <c r="L29" i="31" s="1"/>
  <c r="K27" i="31"/>
  <c r="J27" i="31" s="1"/>
  <c r="E73" i="20"/>
  <c r="F73" i="20" s="1"/>
  <c r="E72" i="20"/>
  <c r="F72" i="20" s="1"/>
  <c r="K26" i="31" s="1"/>
  <c r="J26" i="31" s="1"/>
  <c r="E71" i="20"/>
  <c r="F71" i="20" s="1"/>
  <c r="I15" i="12"/>
  <c r="K15" i="12" s="1"/>
  <c r="I9" i="12"/>
  <c r="K9" i="12" s="1"/>
  <c r="I10" i="12"/>
  <c r="K10" i="12" s="1"/>
  <c r="I11" i="12"/>
  <c r="K11" i="12" s="1"/>
  <c r="I12" i="12"/>
  <c r="K12" i="12" s="1"/>
  <c r="I13" i="12"/>
  <c r="K13" i="12" s="1"/>
  <c r="I8" i="12"/>
  <c r="K8" i="12" s="1"/>
  <c r="J1" i="31"/>
  <c r="K1" i="31" s="1"/>
  <c r="L1" i="31" s="1"/>
  <c r="M1" i="31" s="1"/>
  <c r="N1" i="31" s="1"/>
  <c r="O1" i="31" s="1"/>
  <c r="P1" i="31" s="1"/>
  <c r="Q1" i="31" s="1"/>
  <c r="J19" i="21"/>
  <c r="J31" i="21"/>
  <c r="K31" i="21"/>
  <c r="L31" i="21"/>
  <c r="M31" i="21"/>
  <c r="N31" i="21"/>
  <c r="O31" i="21"/>
  <c r="P31" i="21"/>
  <c r="Q31" i="21"/>
  <c r="J41" i="21"/>
  <c r="K41" i="21"/>
  <c r="L41" i="21"/>
  <c r="M41" i="21"/>
  <c r="N41" i="21"/>
  <c r="O41" i="21"/>
  <c r="P41" i="21"/>
  <c r="Q41" i="21"/>
  <c r="J51" i="21"/>
  <c r="K51" i="21"/>
  <c r="L51" i="21"/>
  <c r="M51" i="21"/>
  <c r="N51" i="21"/>
  <c r="O51" i="21"/>
  <c r="P51" i="21"/>
  <c r="Q51" i="21"/>
  <c r="J72" i="1"/>
  <c r="I75" i="1"/>
  <c r="H75" i="1"/>
  <c r="I74" i="1"/>
  <c r="H74" i="1"/>
  <c r="G74" i="1"/>
  <c r="G75" i="1" s="1"/>
  <c r="F74" i="1"/>
  <c r="F75" i="1" s="1"/>
  <c r="E74" i="1"/>
  <c r="E75" i="1" s="1"/>
  <c r="D74" i="1"/>
  <c r="D75" i="1" s="1"/>
  <c r="I72" i="1"/>
  <c r="H72" i="1"/>
  <c r="G72" i="1"/>
  <c r="F72" i="1"/>
  <c r="E72" i="1"/>
  <c r="D72" i="1"/>
  <c r="I71" i="1"/>
  <c r="H71" i="1"/>
  <c r="G71" i="1"/>
  <c r="F71" i="1"/>
  <c r="E71" i="1"/>
  <c r="D71" i="1"/>
  <c r="D42" i="10"/>
  <c r="F38" i="10"/>
  <c r="F42" i="10" s="1"/>
  <c r="G38" i="10"/>
  <c r="G42" i="10" s="1"/>
  <c r="H38" i="10"/>
  <c r="H42" i="10" s="1"/>
  <c r="I38" i="10"/>
  <c r="I42" i="10" s="1"/>
  <c r="E38" i="10"/>
  <c r="E42" i="10" s="1"/>
  <c r="J22" i="1"/>
  <c r="K22" i="1" s="1"/>
  <c r="L22" i="1" s="1"/>
  <c r="M22" i="1" s="1"/>
  <c r="N22" i="1" s="1"/>
  <c r="O22" i="1" s="1"/>
  <c r="P22" i="1" s="1"/>
  <c r="Q22" i="1" s="1"/>
  <c r="I71" i="21"/>
  <c r="J69" i="21" s="1"/>
  <c r="R5" i="23"/>
  <c r="S5" i="23" s="1"/>
  <c r="T5" i="23" s="1"/>
  <c r="U5" i="23" s="1"/>
  <c r="V5" i="23" s="1"/>
  <c r="W5" i="23" s="1"/>
  <c r="X5" i="23" s="1"/>
  <c r="Y5" i="23" s="1"/>
  <c r="Z5" i="23" s="1"/>
  <c r="Q5" i="23"/>
  <c r="I6" i="30" a="1"/>
  <c r="I6" i="30" s="1"/>
  <c r="I5" i="30" a="1"/>
  <c r="I5" i="30" s="1"/>
  <c r="H6" i="30"/>
  <c r="H7" i="30" s="1"/>
  <c r="I40" i="21"/>
  <c r="J37" i="21" s="1"/>
  <c r="I59" i="21"/>
  <c r="J57" i="21" s="1"/>
  <c r="I60" i="21"/>
  <c r="J63" i="21" s="1"/>
  <c r="I18" i="21"/>
  <c r="J15" i="21" s="1"/>
  <c r="I30" i="21"/>
  <c r="J27" i="21" s="1"/>
  <c r="I50" i="21"/>
  <c r="J47" i="21" s="1"/>
  <c r="J37" i="1"/>
  <c r="K37" i="1" s="1"/>
  <c r="L37" i="1" s="1"/>
  <c r="M37" i="1" s="1"/>
  <c r="N37" i="1" s="1"/>
  <c r="O37" i="1" s="1"/>
  <c r="P37" i="1" s="1"/>
  <c r="Q37" i="1" s="1"/>
  <c r="J1" i="21"/>
  <c r="K1" i="21" s="1"/>
  <c r="L1" i="21" s="1"/>
  <c r="M1" i="21" s="1"/>
  <c r="N1" i="21" s="1"/>
  <c r="O1" i="21" s="1"/>
  <c r="P1" i="21" s="1"/>
  <c r="Q1" i="21" s="1"/>
  <c r="J29" i="31" l="1"/>
  <c r="L34" i="31"/>
  <c r="L27" i="31"/>
  <c r="L26" i="31"/>
  <c r="J28" i="31"/>
  <c r="J30" i="31"/>
  <c r="V26" i="31"/>
  <c r="T26" i="31"/>
  <c r="J33" i="31"/>
  <c r="U26" i="31"/>
  <c r="J38" i="21"/>
  <c r="J65" i="21"/>
  <c r="J74" i="21" s="1"/>
  <c r="J16" i="21"/>
  <c r="K21" i="12"/>
  <c r="T26" i="33"/>
  <c r="S7" i="33"/>
  <c r="S9" i="33"/>
  <c r="S12" i="33"/>
  <c r="U24" i="33"/>
  <c r="T24" i="33"/>
  <c r="L13" i="33"/>
  <c r="M13" i="33"/>
  <c r="N11" i="33"/>
  <c r="L11" i="33"/>
  <c r="N12" i="33"/>
  <c r="N9" i="33"/>
  <c r="L9" i="33"/>
  <c r="M12" i="33"/>
  <c r="F30" i="33"/>
  <c r="F37" i="33" s="1"/>
  <c r="F14" i="33"/>
  <c r="U9" i="31"/>
  <c r="V9" i="31"/>
  <c r="K31" i="31"/>
  <c r="K63" i="21"/>
  <c r="L63" i="21" s="1"/>
  <c r="J72" i="21"/>
  <c r="K72" i="1"/>
  <c r="L72" i="1" s="1"/>
  <c r="J48" i="21"/>
  <c r="J28" i="21"/>
  <c r="J75" i="21"/>
  <c r="J70" i="21" s="1"/>
  <c r="J71" i="21" s="1"/>
  <c r="J21" i="31"/>
  <c r="J48" i="31"/>
  <c r="L48" i="31"/>
  <c r="K48" i="31"/>
  <c r="L42" i="31"/>
  <c r="M48" i="31"/>
  <c r="K22" i="12"/>
  <c r="K18" i="12"/>
  <c r="K17" i="12"/>
  <c r="K19" i="12"/>
  <c r="K20" i="12"/>
  <c r="P16" i="31"/>
  <c r="J16" i="31"/>
  <c r="L16" i="31"/>
  <c r="Q16" i="31"/>
  <c r="K16" i="31"/>
  <c r="M16" i="31"/>
  <c r="N16" i="31"/>
  <c r="O16" i="31"/>
  <c r="H8" i="30"/>
  <c r="H9" i="30" s="1"/>
  <c r="I7" i="30" a="1"/>
  <c r="I7" i="30" s="1"/>
  <c r="J7" i="30" s="1"/>
  <c r="I8" i="30" a="1"/>
  <c r="I8" i="30" s="1"/>
  <c r="J5" i="30"/>
  <c r="K5" i="30"/>
  <c r="L5" i="30"/>
  <c r="L6" i="30"/>
  <c r="J6" i="30"/>
  <c r="K6" i="30"/>
  <c r="F89" i="20"/>
  <c r="L30" i="1" s="1"/>
  <c r="L12" i="10" s="1"/>
  <c r="F88" i="20"/>
  <c r="L29" i="10" s="1"/>
  <c r="J49" i="9"/>
  <c r="L28" i="1"/>
  <c r="M28" i="1" s="1"/>
  <c r="N28" i="1" s="1"/>
  <c r="J29" i="1"/>
  <c r="K29" i="1" s="1"/>
  <c r="L29" i="1" s="1"/>
  <c r="K31" i="1"/>
  <c r="L31" i="1" s="1"/>
  <c r="M31" i="1" s="1"/>
  <c r="N31" i="1" s="1"/>
  <c r="O31" i="1" s="1"/>
  <c r="P31" i="1" s="1"/>
  <c r="Q31" i="1" s="1"/>
  <c r="J32" i="1"/>
  <c r="K32" i="1" s="1"/>
  <c r="L33" i="1"/>
  <c r="M33" i="1" s="1"/>
  <c r="N33" i="1" s="1"/>
  <c r="O33" i="1" s="1"/>
  <c r="P33" i="1" s="1"/>
  <c r="Q33" i="1" s="1"/>
  <c r="J46" i="9"/>
  <c r="K46" i="9" s="1"/>
  <c r="L46" i="9" s="1"/>
  <c r="M46" i="9" s="1"/>
  <c r="N46" i="9" s="1"/>
  <c r="O46" i="9" s="1"/>
  <c r="P46" i="9" s="1"/>
  <c r="Q46" i="9" s="1"/>
  <c r="K44" i="10"/>
  <c r="L44" i="10" s="1"/>
  <c r="M44" i="10" s="1"/>
  <c r="J40" i="10"/>
  <c r="K40" i="10" s="1"/>
  <c r="L40" i="10" s="1"/>
  <c r="M40" i="10" s="1"/>
  <c r="N40" i="10" s="1"/>
  <c r="O40" i="10" s="1"/>
  <c r="P40" i="10" s="1"/>
  <c r="Q40" i="10" s="1"/>
  <c r="J39" i="10"/>
  <c r="K15" i="10"/>
  <c r="L15" i="10" s="1"/>
  <c r="M15" i="10" s="1"/>
  <c r="N15" i="10" s="1"/>
  <c r="O15" i="10" s="1"/>
  <c r="P15" i="10" s="1"/>
  <c r="Q15" i="10" s="1"/>
  <c r="J40" i="9"/>
  <c r="K40" i="9" s="1"/>
  <c r="L40" i="9" s="1"/>
  <c r="M40" i="9" s="1"/>
  <c r="N40" i="9" s="1"/>
  <c r="O40" i="9" s="1"/>
  <c r="P40" i="9" s="1"/>
  <c r="Q40" i="9" s="1"/>
  <c r="J41" i="9"/>
  <c r="K41" i="9" s="1"/>
  <c r="L41" i="9" s="1"/>
  <c r="J34" i="9"/>
  <c r="K34" i="9" s="1"/>
  <c r="L34" i="9" s="1"/>
  <c r="M34" i="9" s="1"/>
  <c r="N34" i="9" s="1"/>
  <c r="O34" i="9" s="1"/>
  <c r="P34" i="9" s="1"/>
  <c r="Q34" i="9" s="1"/>
  <c r="J48" i="9"/>
  <c r="K48" i="9" s="1"/>
  <c r="L48" i="9" s="1"/>
  <c r="M48" i="9" s="1"/>
  <c r="N48" i="9" s="1"/>
  <c r="O48" i="9" s="1"/>
  <c r="P48" i="9" s="1"/>
  <c r="Q48" i="9" s="1"/>
  <c r="J45" i="9"/>
  <c r="K45" i="9" s="1"/>
  <c r="L45" i="9" s="1"/>
  <c r="M45" i="9" s="1"/>
  <c r="N45" i="9" s="1"/>
  <c r="O45" i="9" s="1"/>
  <c r="P45" i="9" s="1"/>
  <c r="Q45" i="9" s="1"/>
  <c r="E88" i="20"/>
  <c r="K29" i="10" s="1"/>
  <c r="G88" i="20"/>
  <c r="M29" i="10" s="1"/>
  <c r="H88" i="20"/>
  <c r="N29" i="10" s="1"/>
  <c r="I88" i="20"/>
  <c r="O29" i="10" s="1"/>
  <c r="J88" i="20"/>
  <c r="P29" i="10" s="1"/>
  <c r="K88" i="20"/>
  <c r="Q29" i="10" s="1"/>
  <c r="E64" i="9"/>
  <c r="F64" i="9"/>
  <c r="G64" i="9"/>
  <c r="H64" i="9"/>
  <c r="I64" i="9"/>
  <c r="D64" i="9"/>
  <c r="D84" i="20"/>
  <c r="D83" i="20"/>
  <c r="E61" i="9"/>
  <c r="F61" i="9"/>
  <c r="G61" i="9"/>
  <c r="H61" i="9"/>
  <c r="I61" i="9"/>
  <c r="D61" i="9"/>
  <c r="C61" i="9"/>
  <c r="E60" i="9"/>
  <c r="F60" i="9" s="1"/>
  <c r="G60" i="9" s="1"/>
  <c r="H60" i="9" s="1"/>
  <c r="I60" i="9" s="1"/>
  <c r="J60" i="9" s="1"/>
  <c r="K60" i="9" s="1"/>
  <c r="L60" i="9" s="1"/>
  <c r="M60" i="9" s="1"/>
  <c r="N60" i="9" s="1"/>
  <c r="O60" i="9" s="1"/>
  <c r="P60" i="9" s="1"/>
  <c r="Q60" i="9" s="1"/>
  <c r="D86" i="20"/>
  <c r="D87" i="20" s="1"/>
  <c r="E86" i="20"/>
  <c r="E87" i="20" s="1"/>
  <c r="E89" i="20" s="1"/>
  <c r="K30" i="1" s="1"/>
  <c r="K12" i="10" s="1"/>
  <c r="G86" i="20"/>
  <c r="G87" i="20" s="1"/>
  <c r="G89" i="20" s="1"/>
  <c r="M30" i="1" s="1"/>
  <c r="M12" i="10" s="1"/>
  <c r="H86" i="20"/>
  <c r="H87" i="20" s="1"/>
  <c r="H89" i="20" s="1"/>
  <c r="N30" i="1" s="1"/>
  <c r="N12" i="10" s="1"/>
  <c r="I86" i="20"/>
  <c r="I87" i="20" s="1"/>
  <c r="I89" i="20" s="1"/>
  <c r="O30" i="1" s="1"/>
  <c r="O12" i="10" s="1"/>
  <c r="J86" i="20"/>
  <c r="J87" i="20" s="1"/>
  <c r="J89" i="20" s="1"/>
  <c r="P30" i="1" s="1"/>
  <c r="P12" i="10" s="1"/>
  <c r="K86" i="20"/>
  <c r="K87" i="20" s="1"/>
  <c r="K89" i="20" s="1"/>
  <c r="Q30" i="1" s="1"/>
  <c r="Q12" i="10" s="1"/>
  <c r="J25" i="9"/>
  <c r="K25" i="9" s="1"/>
  <c r="L25" i="9" s="1"/>
  <c r="M25" i="9" s="1"/>
  <c r="N25" i="9" s="1"/>
  <c r="O25" i="9" s="1"/>
  <c r="P25" i="9" s="1"/>
  <c r="Q25" i="9" s="1"/>
  <c r="J24" i="9"/>
  <c r="K24" i="9" s="1"/>
  <c r="L24" i="9" s="1"/>
  <c r="M24" i="9" s="1"/>
  <c r="N24" i="9" s="1"/>
  <c r="O24" i="9" s="1"/>
  <c r="P24" i="9" s="1"/>
  <c r="Q24" i="9" s="1"/>
  <c r="J23" i="9"/>
  <c r="K23" i="9" s="1"/>
  <c r="L23" i="9" s="1"/>
  <c r="M23" i="9" s="1"/>
  <c r="N23" i="9" s="1"/>
  <c r="O23" i="9" s="1"/>
  <c r="P23" i="9" s="1"/>
  <c r="Q23" i="9" s="1"/>
  <c r="J22" i="9"/>
  <c r="K22" i="9" s="1"/>
  <c r="L22" i="9" s="1"/>
  <c r="M22" i="9" s="1"/>
  <c r="N22" i="9" s="1"/>
  <c r="O22" i="9" s="1"/>
  <c r="P22" i="9" s="1"/>
  <c r="Q22" i="9" s="1"/>
  <c r="E84" i="1"/>
  <c r="E85" i="1" s="1"/>
  <c r="F84" i="1"/>
  <c r="F85" i="1" s="1"/>
  <c r="G84" i="1"/>
  <c r="G85" i="1" s="1"/>
  <c r="H84" i="1"/>
  <c r="H85" i="1" s="1"/>
  <c r="I84" i="1"/>
  <c r="I85" i="1" s="1"/>
  <c r="D84" i="1"/>
  <c r="D85" i="1" s="1"/>
  <c r="E82" i="1"/>
  <c r="E83" i="1" s="1"/>
  <c r="F82" i="1"/>
  <c r="F83" i="1" s="1"/>
  <c r="G82" i="1"/>
  <c r="G83" i="1" s="1"/>
  <c r="H82" i="1"/>
  <c r="H83" i="1" s="1"/>
  <c r="I82" i="1"/>
  <c r="I83" i="1" s="1"/>
  <c r="D82" i="1"/>
  <c r="D83" i="1" s="1"/>
  <c r="E80" i="1"/>
  <c r="E81" i="1" s="1"/>
  <c r="F80" i="1"/>
  <c r="F81" i="1" s="1"/>
  <c r="G80" i="1"/>
  <c r="G81" i="1" s="1"/>
  <c r="H80" i="1"/>
  <c r="H81" i="1" s="1"/>
  <c r="I80" i="1"/>
  <c r="I81" i="1" s="1"/>
  <c r="D80" i="1"/>
  <c r="D81" i="1" s="1"/>
  <c r="E78" i="1"/>
  <c r="F78" i="1"/>
  <c r="G78" i="1"/>
  <c r="H78" i="1"/>
  <c r="I78" i="1"/>
  <c r="D78" i="1"/>
  <c r="K39" i="1"/>
  <c r="L39" i="1" s="1"/>
  <c r="M39" i="1" s="1"/>
  <c r="N39" i="1" s="1"/>
  <c r="O39" i="1" s="1"/>
  <c r="P39" i="1" s="1"/>
  <c r="Q39" i="1" s="1"/>
  <c r="L31" i="31" l="1"/>
  <c r="J31" i="31"/>
  <c r="K69" i="21"/>
  <c r="J66" i="21"/>
  <c r="J58" i="21" s="1"/>
  <c r="J59" i="21" s="1"/>
  <c r="J64" i="21" s="1"/>
  <c r="K65" i="21"/>
  <c r="J8" i="21"/>
  <c r="K72" i="21"/>
  <c r="T34" i="33"/>
  <c r="S34" i="33"/>
  <c r="S24" i="33"/>
  <c r="T28" i="33"/>
  <c r="U28" i="33"/>
  <c r="S28" i="33"/>
  <c r="U34" i="33"/>
  <c r="N14" i="33"/>
  <c r="M14" i="33"/>
  <c r="L14" i="33"/>
  <c r="M72" i="1"/>
  <c r="N72" i="1"/>
  <c r="J73" i="21"/>
  <c r="L72" i="21"/>
  <c r="M63" i="21"/>
  <c r="O72" i="1"/>
  <c r="P72" i="1" s="1"/>
  <c r="K75" i="1"/>
  <c r="J39" i="9"/>
  <c r="K39" i="10"/>
  <c r="K7" i="30"/>
  <c r="L7" i="30"/>
  <c r="I9" i="30" a="1"/>
  <c r="I9" i="30" s="1"/>
  <c r="J9" i="30" s="1"/>
  <c r="H10" i="30"/>
  <c r="L8" i="30"/>
  <c r="J8" i="30"/>
  <c r="K8" i="30"/>
  <c r="D89" i="20"/>
  <c r="J30" i="1" s="1"/>
  <c r="D86" i="1"/>
  <c r="I86" i="1"/>
  <c r="K49" i="9"/>
  <c r="L49" i="9" s="1"/>
  <c r="M49" i="9" s="1"/>
  <c r="N49" i="9" s="1"/>
  <c r="O49" i="9" s="1"/>
  <c r="P49" i="9" s="1"/>
  <c r="Q49" i="9" s="1"/>
  <c r="M29" i="1"/>
  <c r="L32" i="1"/>
  <c r="M32" i="1" s="1"/>
  <c r="N32" i="1" s="1"/>
  <c r="O32" i="1" s="1"/>
  <c r="P32" i="1" s="1"/>
  <c r="Q32" i="1" s="1"/>
  <c r="O28" i="1"/>
  <c r="F86" i="1"/>
  <c r="E86" i="1"/>
  <c r="G86" i="1"/>
  <c r="H86" i="1"/>
  <c r="N44" i="10"/>
  <c r="M41" i="9"/>
  <c r="D88" i="20"/>
  <c r="J29" i="10" s="1"/>
  <c r="J81" i="1"/>
  <c r="J80" i="1" s="1"/>
  <c r="J83" i="1"/>
  <c r="J82" i="1" s="1"/>
  <c r="J51" i="1" s="1"/>
  <c r="J85" i="1"/>
  <c r="J84" i="1" s="1"/>
  <c r="J77" i="21" l="1"/>
  <c r="K57" i="21"/>
  <c r="K74" i="21"/>
  <c r="K75" i="21" s="1"/>
  <c r="K70" i="21" s="1"/>
  <c r="K71" i="21" s="1"/>
  <c r="L65" i="21"/>
  <c r="K66" i="21"/>
  <c r="K73" i="21"/>
  <c r="J12" i="10"/>
  <c r="M72" i="21"/>
  <c r="N63" i="21"/>
  <c r="Q72" i="1"/>
  <c r="L75" i="1"/>
  <c r="K39" i="9"/>
  <c r="L39" i="10"/>
  <c r="H11" i="30"/>
  <c r="I10" i="30" a="1"/>
  <c r="I10" i="30" s="1"/>
  <c r="L9" i="30"/>
  <c r="K9" i="30"/>
  <c r="P28" i="1"/>
  <c r="N29" i="1"/>
  <c r="O44" i="10"/>
  <c r="N41" i="9"/>
  <c r="K85" i="1"/>
  <c r="K84" i="1" s="1"/>
  <c r="K81" i="1"/>
  <c r="K80" i="1" s="1"/>
  <c r="K83" i="1"/>
  <c r="K82" i="1" s="1"/>
  <c r="K51" i="1" s="1"/>
  <c r="J52" i="1"/>
  <c r="J9" i="10"/>
  <c r="J8" i="10"/>
  <c r="J50" i="1"/>
  <c r="L69" i="21" l="1"/>
  <c r="L66" i="21"/>
  <c r="M65" i="21"/>
  <c r="L74" i="21"/>
  <c r="L75" i="21" s="1"/>
  <c r="L70" i="21"/>
  <c r="L71" i="21" s="1"/>
  <c r="L73" i="21"/>
  <c r="K58" i="21"/>
  <c r="K59" i="21" s="1"/>
  <c r="L57" i="21" s="1"/>
  <c r="N72" i="21"/>
  <c r="O63" i="21"/>
  <c r="M75" i="1"/>
  <c r="J33" i="9"/>
  <c r="M39" i="10"/>
  <c r="K10" i="30"/>
  <c r="L10" i="30"/>
  <c r="J10" i="30"/>
  <c r="H12" i="30"/>
  <c r="I11" i="30" a="1"/>
  <c r="I11" i="30" s="1"/>
  <c r="O29" i="1"/>
  <c r="Q28" i="1"/>
  <c r="L81" i="1"/>
  <c r="L80" i="1" s="1"/>
  <c r="L83" i="1"/>
  <c r="M83" i="1" s="1"/>
  <c r="N83" i="1" s="1"/>
  <c r="N82" i="1" s="1"/>
  <c r="N51" i="1" s="1"/>
  <c r="P44" i="10"/>
  <c r="O41" i="9"/>
  <c r="L85" i="1"/>
  <c r="L84" i="1" s="1"/>
  <c r="L52" i="1" s="1"/>
  <c r="K9" i="10"/>
  <c r="K52" i="1"/>
  <c r="K50" i="1"/>
  <c r="K8" i="10"/>
  <c r="M69" i="21" l="1"/>
  <c r="K64" i="21"/>
  <c r="L58" i="21"/>
  <c r="L59" i="21" s="1"/>
  <c r="M57" i="21" s="1"/>
  <c r="N65" i="21"/>
  <c r="M74" i="21"/>
  <c r="M75" i="21" s="1"/>
  <c r="M70" i="21" s="1"/>
  <c r="M71" i="21" s="1"/>
  <c r="M66" i="21"/>
  <c r="O72" i="21"/>
  <c r="P63" i="21"/>
  <c r="N75" i="1"/>
  <c r="M81" i="1"/>
  <c r="N81" i="1" s="1"/>
  <c r="N80" i="1" s="1"/>
  <c r="N8" i="10" s="1"/>
  <c r="L39" i="9"/>
  <c r="K33" i="9"/>
  <c r="N39" i="10"/>
  <c r="J11" i="30"/>
  <c r="L11" i="30"/>
  <c r="K11" i="30"/>
  <c r="H13" i="30"/>
  <c r="I12" i="30" a="1"/>
  <c r="I12" i="30" s="1"/>
  <c r="L82" i="1"/>
  <c r="L51" i="1" s="1"/>
  <c r="P29" i="1"/>
  <c r="L9" i="10"/>
  <c r="M85" i="1"/>
  <c r="M84" i="1" s="1"/>
  <c r="M52" i="1" s="1"/>
  <c r="Q44" i="10"/>
  <c r="P41" i="9"/>
  <c r="L8" i="10"/>
  <c r="L50" i="1"/>
  <c r="M82" i="1"/>
  <c r="M51" i="1" s="1"/>
  <c r="O83" i="1"/>
  <c r="O82" i="1" s="1"/>
  <c r="O51" i="1" s="1"/>
  <c r="L64" i="21" l="1"/>
  <c r="K77" i="21"/>
  <c r="N69" i="21"/>
  <c r="M73" i="21"/>
  <c r="O65" i="21"/>
  <c r="N74" i="21"/>
  <c r="N75" i="21" s="1"/>
  <c r="N66" i="21"/>
  <c r="P72" i="21"/>
  <c r="Q63" i="21"/>
  <c r="M58" i="21"/>
  <c r="M59" i="21" s="1"/>
  <c r="O75" i="1"/>
  <c r="N50" i="1"/>
  <c r="O81" i="1"/>
  <c r="O80" i="1" s="1"/>
  <c r="O8" i="10" s="1"/>
  <c r="M80" i="1"/>
  <c r="M8" i="10" s="1"/>
  <c r="M39" i="9"/>
  <c r="L33" i="9"/>
  <c r="O39" i="10"/>
  <c r="J12" i="30"/>
  <c r="L12" i="30"/>
  <c r="K12" i="30"/>
  <c r="H14" i="30"/>
  <c r="I13" i="30" a="1"/>
  <c r="I13" i="30" s="1"/>
  <c r="M9" i="10"/>
  <c r="N85" i="1"/>
  <c r="N84" i="1" s="1"/>
  <c r="N9" i="10" s="1"/>
  <c r="Q29" i="1"/>
  <c r="Q41" i="9"/>
  <c r="P83" i="1"/>
  <c r="Q83" i="1" s="1"/>
  <c r="L77" i="21" l="1"/>
  <c r="N70" i="21"/>
  <c r="N71" i="21" s="1"/>
  <c r="O66" i="21"/>
  <c r="O74" i="21"/>
  <c r="O75" i="21" s="1"/>
  <c r="P65" i="21"/>
  <c r="N57" i="21"/>
  <c r="M64" i="21"/>
  <c r="M77" i="21" s="1"/>
  <c r="M33" i="9"/>
  <c r="Q72" i="21"/>
  <c r="P75" i="1"/>
  <c r="P81" i="1"/>
  <c r="M50" i="1"/>
  <c r="O50" i="1"/>
  <c r="P39" i="10"/>
  <c r="I14" i="30" a="1"/>
  <c r="I14" i="30" s="1"/>
  <c r="H15" i="30"/>
  <c r="I15" i="30" s="1" a="1"/>
  <c r="I15" i="30" s="1"/>
  <c r="J13" i="30"/>
  <c r="L13" i="30"/>
  <c r="K13" i="30"/>
  <c r="O85" i="1"/>
  <c r="O84" i="1" s="1"/>
  <c r="O52" i="1" s="1"/>
  <c r="N52" i="1"/>
  <c r="Q81" i="1"/>
  <c r="O69" i="21" l="1"/>
  <c r="N39" i="9"/>
  <c r="N73" i="21"/>
  <c r="O70" i="21"/>
  <c r="O71" i="21" s="1"/>
  <c r="P74" i="21"/>
  <c r="P75" i="21" s="1"/>
  <c r="P66" i="21"/>
  <c r="Q65" i="21"/>
  <c r="N58" i="21"/>
  <c r="N59" i="21" s="1"/>
  <c r="Q75" i="1"/>
  <c r="Q39" i="10"/>
  <c r="J15" i="30"/>
  <c r="K15" i="30"/>
  <c r="L15" i="30"/>
  <c r="L14" i="30"/>
  <c r="J14" i="30"/>
  <c r="K14" i="30"/>
  <c r="Q6" i="23" s="1" a="1"/>
  <c r="O9" i="10"/>
  <c r="P85" i="1"/>
  <c r="Q85" i="1" s="1"/>
  <c r="P69" i="21" l="1"/>
  <c r="P70" i="21" s="1"/>
  <c r="P71" i="21" s="1"/>
  <c r="O73" i="21"/>
  <c r="O39" i="9"/>
  <c r="Q66" i="21"/>
  <c r="Q74" i="21"/>
  <c r="Q75" i="21" s="1"/>
  <c r="O57" i="21"/>
  <c r="N33" i="9"/>
  <c r="N64" i="21"/>
  <c r="N77" i="21" s="1"/>
  <c r="Q6" i="23"/>
  <c r="I65" i="1"/>
  <c r="I66" i="1" s="1"/>
  <c r="H65" i="1"/>
  <c r="H66" i="1" s="1"/>
  <c r="G65" i="1"/>
  <c r="G66" i="1" s="1"/>
  <c r="F65" i="1"/>
  <c r="F66" i="1" s="1"/>
  <c r="E65" i="1"/>
  <c r="E66" i="1" s="1"/>
  <c r="D65" i="1"/>
  <c r="D66" i="1" s="1"/>
  <c r="E68" i="1"/>
  <c r="E69" i="1" s="1"/>
  <c r="F68" i="1"/>
  <c r="F69" i="1" s="1"/>
  <c r="G68" i="1"/>
  <c r="G69" i="1" s="1"/>
  <c r="H68" i="1"/>
  <c r="H69" i="1" s="1"/>
  <c r="I68" i="1"/>
  <c r="I69" i="1" s="1"/>
  <c r="D68" i="1"/>
  <c r="D69" i="1" s="1"/>
  <c r="E62" i="1"/>
  <c r="E63" i="1" s="1"/>
  <c r="F62" i="1"/>
  <c r="F63" i="1" s="1"/>
  <c r="G62" i="1"/>
  <c r="G63" i="1" s="1"/>
  <c r="H62" i="1"/>
  <c r="H63" i="1" s="1"/>
  <c r="I62" i="1"/>
  <c r="I63" i="1" s="1"/>
  <c r="D62" i="1"/>
  <c r="D63" i="1" s="1"/>
  <c r="E61" i="1"/>
  <c r="F61" i="1" s="1"/>
  <c r="G61" i="1" s="1"/>
  <c r="H61" i="1" s="1"/>
  <c r="I61" i="1" s="1"/>
  <c r="J61" i="1" s="1"/>
  <c r="K61" i="1" s="1"/>
  <c r="L61" i="1" s="1"/>
  <c r="M61" i="1" s="1"/>
  <c r="N61" i="1" s="1"/>
  <c r="O61" i="1" s="1"/>
  <c r="P61" i="1" s="1"/>
  <c r="Q61" i="1" s="1"/>
  <c r="K13" i="1"/>
  <c r="L13" i="1" s="1"/>
  <c r="M13" i="1" s="1"/>
  <c r="N13" i="1" s="1"/>
  <c r="O13" i="1" s="1"/>
  <c r="P13" i="1" s="1"/>
  <c r="Q13" i="1" s="1"/>
  <c r="J14" i="19"/>
  <c r="K19" i="19"/>
  <c r="J19" i="19"/>
  <c r="D24" i="20"/>
  <c r="E24" i="20"/>
  <c r="F24" i="20"/>
  <c r="Q18" i="19" s="1"/>
  <c r="K18" i="19"/>
  <c r="J18" i="19"/>
  <c r="P39" i="9" l="1"/>
  <c r="Q69" i="21"/>
  <c r="P73" i="21"/>
  <c r="Q70" i="21"/>
  <c r="Q71" i="21" s="1"/>
  <c r="O58" i="21"/>
  <c r="O59" i="21" s="1"/>
  <c r="J63" i="1"/>
  <c r="K63" i="1" s="1"/>
  <c r="L63" i="1" s="1"/>
  <c r="M63" i="1" s="1"/>
  <c r="N63" i="1" s="1"/>
  <c r="O63" i="1" s="1"/>
  <c r="P63" i="1" s="1"/>
  <c r="Q63" i="1" s="1"/>
  <c r="J66" i="1"/>
  <c r="K66" i="1" s="1"/>
  <c r="L66" i="1" s="1"/>
  <c r="M66" i="1" s="1"/>
  <c r="N66" i="1" s="1"/>
  <c r="O66" i="1" s="1"/>
  <c r="P66" i="1" s="1"/>
  <c r="Q66" i="1" s="1"/>
  <c r="J69" i="1"/>
  <c r="K69" i="1" s="1"/>
  <c r="L69" i="1" s="1"/>
  <c r="M69" i="1" s="1"/>
  <c r="N69" i="1" s="1"/>
  <c r="O69" i="1" s="1"/>
  <c r="P69" i="1" s="1"/>
  <c r="Q69" i="1" s="1"/>
  <c r="K14" i="19"/>
  <c r="L14" i="19"/>
  <c r="M14" i="19"/>
  <c r="N14" i="19"/>
  <c r="O14" i="19"/>
  <c r="P14" i="19"/>
  <c r="Q14" i="19"/>
  <c r="F31" i="20"/>
  <c r="F37" i="20"/>
  <c r="F32" i="20"/>
  <c r="F39" i="20"/>
  <c r="F33" i="20"/>
  <c r="F40" i="20"/>
  <c r="F34" i="20"/>
  <c r="F38" i="20"/>
  <c r="F35" i="20"/>
  <c r="F36" i="20"/>
  <c r="Q73" i="21" l="1"/>
  <c r="Q39" i="9"/>
  <c r="P57" i="21"/>
  <c r="O33" i="9"/>
  <c r="O64" i="21"/>
  <c r="L13" i="19"/>
  <c r="K13" i="19"/>
  <c r="Q10" i="19"/>
  <c r="K10" i="19"/>
  <c r="L10" i="19"/>
  <c r="M10" i="19"/>
  <c r="O13" i="19"/>
  <c r="O15" i="19" s="1"/>
  <c r="Q13" i="19"/>
  <c r="Q15" i="19" s="1"/>
  <c r="P10" i="19"/>
  <c r="N10" i="19"/>
  <c r="N13" i="19"/>
  <c r="M13" i="19"/>
  <c r="O10" i="19"/>
  <c r="P13" i="19"/>
  <c r="P15" i="19" s="1"/>
  <c r="O77" i="21" l="1"/>
  <c r="P5" i="19"/>
  <c r="P5" i="1" s="1"/>
  <c r="Q5" i="19"/>
  <c r="Q5" i="1" s="1"/>
  <c r="O5" i="19"/>
  <c r="O5" i="1" s="1"/>
  <c r="P58" i="21"/>
  <c r="P59" i="21" s="1"/>
  <c r="J10" i="19"/>
  <c r="Q12" i="1" l="1"/>
  <c r="Q65" i="1" s="1"/>
  <c r="Q71" i="1"/>
  <c r="Q8" i="1"/>
  <c r="Q74" i="1"/>
  <c r="O12" i="1"/>
  <c r="O65" i="1" s="1"/>
  <c r="O8" i="1"/>
  <c r="I62" i="9"/>
  <c r="O71" i="1"/>
  <c r="I65" i="9"/>
  <c r="O74" i="1"/>
  <c r="P8" i="1"/>
  <c r="P12" i="1"/>
  <c r="P65" i="1" s="1"/>
  <c r="Q6" i="1"/>
  <c r="P6" i="1"/>
  <c r="P71" i="1"/>
  <c r="P74" i="1"/>
  <c r="Q57" i="21"/>
  <c r="P33" i="9"/>
  <c r="P64" i="21"/>
  <c r="O68" i="1"/>
  <c r="O26" i="10" s="1"/>
  <c r="C4" i="19"/>
  <c r="P77" i="21" l="1"/>
  <c r="O34" i="10"/>
  <c r="O7" i="21" s="1"/>
  <c r="O12" i="31"/>
  <c r="Q58" i="21"/>
  <c r="Q59" i="21" s="1"/>
  <c r="P68" i="1"/>
  <c r="P26" i="10" s="1"/>
  <c r="Q68" i="1"/>
  <c r="Q26" i="10" s="1"/>
  <c r="J15" i="19"/>
  <c r="J5" i="19" s="1"/>
  <c r="J5" i="1" s="1"/>
  <c r="J74" i="1" s="1"/>
  <c r="J15" i="1" l="1"/>
  <c r="J71" i="1"/>
  <c r="J14" i="1" s="1"/>
  <c r="K14" i="1" s="1"/>
  <c r="L14" i="1" s="1"/>
  <c r="M14" i="1" s="1"/>
  <c r="N14" i="1" s="1"/>
  <c r="O14" i="1" s="1"/>
  <c r="Q34" i="10"/>
  <c r="Q7" i="21" s="1"/>
  <c r="Q12" i="31"/>
  <c r="P34" i="10"/>
  <c r="P7" i="21" s="1"/>
  <c r="P12" i="31"/>
  <c r="Q33" i="9"/>
  <c r="Q64" i="21"/>
  <c r="D65" i="9"/>
  <c r="P82" i="1"/>
  <c r="P51" i="1" s="1"/>
  <c r="P84" i="1"/>
  <c r="P80" i="1"/>
  <c r="J8" i="1"/>
  <c r="D62" i="9" s="1"/>
  <c r="J12" i="1"/>
  <c r="J68" i="1"/>
  <c r="J26" i="10" s="1"/>
  <c r="J6" i="1"/>
  <c r="K15" i="19"/>
  <c r="K5" i="19" s="1"/>
  <c r="K5" i="1" s="1"/>
  <c r="Q77" i="21" l="1"/>
  <c r="K15" i="1"/>
  <c r="J17" i="1"/>
  <c r="U16" i="31"/>
  <c r="V16" i="31"/>
  <c r="T16" i="31"/>
  <c r="P14" i="1"/>
  <c r="E62" i="9"/>
  <c r="K74" i="1"/>
  <c r="K71" i="1"/>
  <c r="J18" i="9"/>
  <c r="J12" i="31"/>
  <c r="E65" i="9"/>
  <c r="J34" i="10"/>
  <c r="J7" i="21" s="1"/>
  <c r="P50" i="1"/>
  <c r="P8" i="10"/>
  <c r="P52" i="1"/>
  <c r="P9" i="10"/>
  <c r="Q82" i="1"/>
  <c r="Q51" i="1" s="1"/>
  <c r="Q84" i="1"/>
  <c r="Q80" i="1"/>
  <c r="K8" i="1"/>
  <c r="K12" i="1"/>
  <c r="J65" i="1"/>
  <c r="K6" i="1"/>
  <c r="K68" i="1"/>
  <c r="K26" i="10" s="1"/>
  <c r="L15" i="19"/>
  <c r="L15" i="1" l="1"/>
  <c r="K17" i="1"/>
  <c r="L5" i="19"/>
  <c r="L5" i="1" s="1"/>
  <c r="K34" i="10"/>
  <c r="K7" i="21" s="1"/>
  <c r="K12" i="31"/>
  <c r="Q14" i="1"/>
  <c r="K18" i="9"/>
  <c r="Q50" i="1"/>
  <c r="Q8" i="10"/>
  <c r="Q9" i="10"/>
  <c r="Q52" i="1"/>
  <c r="K65" i="1"/>
  <c r="N15" i="19"/>
  <c r="M15" i="19"/>
  <c r="M15" i="1" l="1"/>
  <c r="N15" i="1" s="1"/>
  <c r="O15" i="1" s="1"/>
  <c r="L12" i="1"/>
  <c r="L65" i="1" s="1"/>
  <c r="L68" i="1"/>
  <c r="L26" i="10" s="1"/>
  <c r="L18" i="9" s="1"/>
  <c r="L6" i="1"/>
  <c r="L74" i="1"/>
  <c r="L8" i="1"/>
  <c r="L62" i="1" s="1"/>
  <c r="F62" i="9"/>
  <c r="F65" i="9"/>
  <c r="L71" i="1"/>
  <c r="M5" i="19"/>
  <c r="M5" i="1" s="1"/>
  <c r="N5" i="19"/>
  <c r="N5" i="1" s="1"/>
  <c r="P62" i="1"/>
  <c r="Q62" i="1"/>
  <c r="K62" i="1"/>
  <c r="O62" i="1"/>
  <c r="J62" i="1"/>
  <c r="O9" i="1"/>
  <c r="Q9" i="1"/>
  <c r="P9" i="1"/>
  <c r="E19" i="11"/>
  <c r="F19" i="11" s="1"/>
  <c r="G19" i="11" s="1"/>
  <c r="H19" i="11" s="1"/>
  <c r="I19" i="11" s="1"/>
  <c r="J19" i="11" s="1"/>
  <c r="K19" i="11" s="1"/>
  <c r="L19" i="11" s="1"/>
  <c r="M19" i="11" s="1"/>
  <c r="N19" i="11" s="1"/>
  <c r="O19" i="11" s="1"/>
  <c r="P19" i="11" s="1"/>
  <c r="Q19" i="11" s="1"/>
  <c r="C26" i="11"/>
  <c r="C29" i="11"/>
  <c r="H24" i="15"/>
  <c r="G24" i="15"/>
  <c r="H23" i="15"/>
  <c r="G23" i="15"/>
  <c r="I27" i="34" s="1"/>
  <c r="M27" i="34" s="1"/>
  <c r="H22" i="15"/>
  <c r="G22" i="15"/>
  <c r="H21" i="15"/>
  <c r="G21" i="15"/>
  <c r="H27" i="34" s="1"/>
  <c r="L27" i="34" s="1"/>
  <c r="H20" i="15"/>
  <c r="G20" i="15"/>
  <c r="G27" i="34" s="1"/>
  <c r="K27" i="34" s="1"/>
  <c r="H19" i="15"/>
  <c r="G19" i="15"/>
  <c r="N11" i="15"/>
  <c r="N10" i="15"/>
  <c r="N9" i="15"/>
  <c r="N8" i="15"/>
  <c r="N7" i="15"/>
  <c r="D47" i="34" l="1"/>
  <c r="E47" i="34" s="1"/>
  <c r="F47" i="34"/>
  <c r="G47" i="34" s="1"/>
  <c r="M11" i="34"/>
  <c r="K11" i="34"/>
  <c r="L11" i="34"/>
  <c r="L34" i="10"/>
  <c r="L7" i="21" s="1"/>
  <c r="L12" i="31"/>
  <c r="L17" i="1"/>
  <c r="P15" i="1"/>
  <c r="O17" i="1"/>
  <c r="O18" i="1" s="1"/>
  <c r="M74" i="1"/>
  <c r="M71" i="1"/>
  <c r="M8" i="1"/>
  <c r="M9" i="1" s="1"/>
  <c r="M6" i="1"/>
  <c r="G65" i="9"/>
  <c r="M12" i="1"/>
  <c r="M17" i="1" s="1"/>
  <c r="G62" i="9"/>
  <c r="M68" i="1"/>
  <c r="M26" i="10" s="1"/>
  <c r="M34" i="10" s="1"/>
  <c r="M7" i="21" s="1"/>
  <c r="N68" i="1"/>
  <c r="N26" i="10" s="1"/>
  <c r="N34" i="10" s="1"/>
  <c r="N7" i="21" s="1"/>
  <c r="H65" i="9"/>
  <c r="J64" i="9" s="1"/>
  <c r="J35" i="9" s="1"/>
  <c r="O6" i="1"/>
  <c r="H62" i="9"/>
  <c r="N12" i="1"/>
  <c r="N17" i="1" s="1"/>
  <c r="N8" i="1"/>
  <c r="N62" i="1" s="1"/>
  <c r="N74" i="1"/>
  <c r="N71" i="1"/>
  <c r="N6" i="1"/>
  <c r="M16" i="15"/>
  <c r="N16" i="15"/>
  <c r="P10" i="1"/>
  <c r="Q10" i="1"/>
  <c r="O10" i="1"/>
  <c r="E22" i="12"/>
  <c r="F22" i="12"/>
  <c r="G22" i="12"/>
  <c r="H22" i="12"/>
  <c r="J22" i="12"/>
  <c r="L22" i="12"/>
  <c r="E21" i="12"/>
  <c r="F21" i="12"/>
  <c r="Q16" i="12" s="1"/>
  <c r="G21" i="12"/>
  <c r="R16" i="12" s="1"/>
  <c r="H21" i="12"/>
  <c r="J21" i="12"/>
  <c r="L21" i="12"/>
  <c r="E20" i="12"/>
  <c r="F20" i="12"/>
  <c r="G20" i="12"/>
  <c r="H20" i="12"/>
  <c r="J20" i="12"/>
  <c r="L20" i="12"/>
  <c r="E19" i="12"/>
  <c r="F19" i="12"/>
  <c r="Q15" i="12" s="1"/>
  <c r="G19" i="12"/>
  <c r="R15" i="12" s="1"/>
  <c r="H19" i="12"/>
  <c r="J19" i="12"/>
  <c r="L19" i="12"/>
  <c r="E18" i="12"/>
  <c r="F18" i="12"/>
  <c r="Q14" i="12" s="1"/>
  <c r="G18" i="12"/>
  <c r="R14" i="12" s="1"/>
  <c r="H18" i="12"/>
  <c r="J18" i="12"/>
  <c r="L18" i="12"/>
  <c r="E17" i="12"/>
  <c r="F17" i="12"/>
  <c r="G17" i="12"/>
  <c r="H17" i="12"/>
  <c r="J17" i="12"/>
  <c r="L17" i="12"/>
  <c r="I13" i="11"/>
  <c r="H13" i="11"/>
  <c r="H34" i="11" s="1"/>
  <c r="H35" i="11" s="1"/>
  <c r="G13" i="11"/>
  <c r="G34" i="11" s="1"/>
  <c r="G35" i="11" s="1"/>
  <c r="F13" i="11"/>
  <c r="F34" i="11" s="1"/>
  <c r="F35" i="11" s="1"/>
  <c r="E13" i="11"/>
  <c r="E34" i="11" s="1"/>
  <c r="E35" i="11" s="1"/>
  <c r="D13" i="11"/>
  <c r="D34" i="11" s="1"/>
  <c r="D35" i="11" s="1"/>
  <c r="I12" i="11"/>
  <c r="I32" i="11" s="1"/>
  <c r="H12" i="11"/>
  <c r="H32" i="11" s="1"/>
  <c r="G12" i="11"/>
  <c r="G32" i="11" s="1"/>
  <c r="F12" i="11"/>
  <c r="F32" i="11" s="1"/>
  <c r="E12" i="11"/>
  <c r="E32" i="11" s="1"/>
  <c r="D12" i="11"/>
  <c r="D32" i="11" s="1"/>
  <c r="I10" i="11"/>
  <c r="I29" i="11" s="1"/>
  <c r="I30" i="11" s="1"/>
  <c r="H10" i="11"/>
  <c r="H29" i="11" s="1"/>
  <c r="H30" i="11" s="1"/>
  <c r="G10" i="11"/>
  <c r="G29" i="11" s="1"/>
  <c r="G30" i="11" s="1"/>
  <c r="F10" i="11"/>
  <c r="F29" i="11" s="1"/>
  <c r="F30" i="11" s="1"/>
  <c r="E10" i="11"/>
  <c r="E29" i="11" s="1"/>
  <c r="E30" i="11" s="1"/>
  <c r="D10" i="11"/>
  <c r="D29" i="11" s="1"/>
  <c r="D30" i="11" s="1"/>
  <c r="I9" i="11"/>
  <c r="I26" i="11" s="1"/>
  <c r="I27" i="11" s="1"/>
  <c r="H9" i="11"/>
  <c r="H26" i="11" s="1"/>
  <c r="H27" i="11" s="1"/>
  <c r="G9" i="11"/>
  <c r="G26" i="11" s="1"/>
  <c r="G27" i="11" s="1"/>
  <c r="F9" i="11"/>
  <c r="F26" i="11" s="1"/>
  <c r="F27" i="11" s="1"/>
  <c r="E9" i="11"/>
  <c r="E26" i="11" s="1"/>
  <c r="E27" i="11" s="1"/>
  <c r="D9" i="11"/>
  <c r="D26" i="11" s="1"/>
  <c r="D27" i="11" s="1"/>
  <c r="I8" i="11"/>
  <c r="I24" i="11" s="1"/>
  <c r="H8" i="11"/>
  <c r="H24" i="11" s="1"/>
  <c r="G8" i="11"/>
  <c r="G24" i="11" s="1"/>
  <c r="F8" i="11"/>
  <c r="F24" i="11" s="1"/>
  <c r="E8" i="11"/>
  <c r="E24" i="11" s="1"/>
  <c r="D8" i="11"/>
  <c r="D24" i="11" s="1"/>
  <c r="I7" i="11"/>
  <c r="I22" i="11" s="1"/>
  <c r="H7" i="11"/>
  <c r="H22" i="11" s="1"/>
  <c r="G7" i="11"/>
  <c r="F7" i="11"/>
  <c r="F22" i="11" s="1"/>
  <c r="E7" i="11"/>
  <c r="E22" i="11" s="1"/>
  <c r="I6" i="11"/>
  <c r="I20" i="11" s="1"/>
  <c r="H6" i="11"/>
  <c r="H20" i="11" s="1"/>
  <c r="G6" i="11"/>
  <c r="G20" i="11" s="1"/>
  <c r="F6" i="11"/>
  <c r="F20" i="11" s="1"/>
  <c r="E6" i="11"/>
  <c r="E20" i="11" s="1"/>
  <c r="D7" i="11"/>
  <c r="D22" i="11" s="1"/>
  <c r="D6" i="11"/>
  <c r="D20" i="11" s="1"/>
  <c r="E1" i="11"/>
  <c r="F1" i="11" s="1"/>
  <c r="G1" i="11" s="1"/>
  <c r="H1" i="11" s="1"/>
  <c r="I1" i="11" s="1"/>
  <c r="J1" i="11" s="1"/>
  <c r="K1" i="11" s="1"/>
  <c r="L1" i="11" s="1"/>
  <c r="M1" i="11" s="1"/>
  <c r="N1" i="11" s="1"/>
  <c r="O1" i="11" s="1"/>
  <c r="P1" i="11" s="1"/>
  <c r="Q1" i="11" s="1"/>
  <c r="D54" i="1"/>
  <c r="D79" i="1" s="1"/>
  <c r="I10" i="10"/>
  <c r="H10" i="10"/>
  <c r="G10" i="10"/>
  <c r="F10" i="10"/>
  <c r="E10" i="10"/>
  <c r="D10" i="10"/>
  <c r="E34" i="10"/>
  <c r="F34" i="10"/>
  <c r="G34" i="10"/>
  <c r="H34" i="10"/>
  <c r="I34" i="10"/>
  <c r="D34" i="10"/>
  <c r="E1" i="10"/>
  <c r="F1" i="10" s="1"/>
  <c r="G1" i="10" s="1"/>
  <c r="H1" i="10" s="1"/>
  <c r="I1" i="10" s="1"/>
  <c r="J1" i="10" s="1"/>
  <c r="K1" i="10" s="1"/>
  <c r="L1" i="10" s="1"/>
  <c r="M1" i="10" s="1"/>
  <c r="N1" i="10" s="1"/>
  <c r="O1" i="10" s="1"/>
  <c r="P1" i="10" s="1"/>
  <c r="Q1" i="10" s="1"/>
  <c r="E50" i="9"/>
  <c r="E52" i="9" s="1"/>
  <c r="F50" i="9"/>
  <c r="F52" i="9" s="1"/>
  <c r="G50" i="9"/>
  <c r="G52" i="9" s="1"/>
  <c r="H50" i="9"/>
  <c r="H52" i="9" s="1"/>
  <c r="I50" i="9"/>
  <c r="I52" i="9" s="1"/>
  <c r="D50" i="9"/>
  <c r="D52" i="9" s="1"/>
  <c r="E36" i="9"/>
  <c r="E42" i="9" s="1"/>
  <c r="F36" i="9"/>
  <c r="F42" i="9" s="1"/>
  <c r="G36" i="9"/>
  <c r="G42" i="9" s="1"/>
  <c r="H36" i="9"/>
  <c r="H42" i="9" s="1"/>
  <c r="I36" i="9"/>
  <c r="I42" i="9" s="1"/>
  <c r="D36" i="9"/>
  <c r="D42" i="9" s="1"/>
  <c r="E20" i="9"/>
  <c r="F20" i="9"/>
  <c r="G20" i="9"/>
  <c r="H20" i="9"/>
  <c r="I20" i="9"/>
  <c r="F16" i="33" s="1"/>
  <c r="D20" i="9"/>
  <c r="D11" i="9"/>
  <c r="E11" i="9"/>
  <c r="F11" i="9"/>
  <c r="G11" i="9"/>
  <c r="H11" i="9"/>
  <c r="I11" i="9"/>
  <c r="D7" i="9"/>
  <c r="E7" i="9"/>
  <c r="F7" i="9"/>
  <c r="G7" i="9"/>
  <c r="H7" i="9"/>
  <c r="I7" i="9"/>
  <c r="E1" i="9"/>
  <c r="F1" i="9" s="1"/>
  <c r="G1" i="9" s="1"/>
  <c r="H1" i="9" s="1"/>
  <c r="I1" i="9" s="1"/>
  <c r="J1" i="9" s="1"/>
  <c r="K1" i="9" s="1"/>
  <c r="L1" i="9" s="1"/>
  <c r="M1" i="9" s="1"/>
  <c r="N1" i="9" s="1"/>
  <c r="O1" i="9" s="1"/>
  <c r="P1" i="9" s="1"/>
  <c r="Q1" i="9" s="1"/>
  <c r="I54" i="1"/>
  <c r="I79" i="1" s="1"/>
  <c r="H54" i="1"/>
  <c r="H79" i="1" s="1"/>
  <c r="G54" i="1"/>
  <c r="G79" i="1" s="1"/>
  <c r="F54" i="1"/>
  <c r="F79" i="1" s="1"/>
  <c r="E54" i="1"/>
  <c r="E79" i="1" s="1"/>
  <c r="L9" i="1"/>
  <c r="K9" i="1"/>
  <c r="E23" i="1"/>
  <c r="F23" i="1"/>
  <c r="G23" i="1"/>
  <c r="H23" i="1"/>
  <c r="I23" i="1"/>
  <c r="K32" i="31" s="1"/>
  <c r="D23" i="1"/>
  <c r="E17" i="1"/>
  <c r="F17" i="1"/>
  <c r="G17" i="1"/>
  <c r="H17" i="1"/>
  <c r="I17" i="1"/>
  <c r="I9" i="1"/>
  <c r="H9" i="1"/>
  <c r="G9" i="1"/>
  <c r="G10" i="1" s="1"/>
  <c r="F9" i="1"/>
  <c r="F10" i="1" s="1"/>
  <c r="E9" i="1"/>
  <c r="E10" i="1" s="1"/>
  <c r="D17" i="1"/>
  <c r="D9" i="1"/>
  <c r="F6" i="1"/>
  <c r="G6" i="1"/>
  <c r="H6" i="1"/>
  <c r="I6" i="1"/>
  <c r="E6" i="1"/>
  <c r="E1" i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P15" i="12" l="1"/>
  <c r="L10" i="34"/>
  <c r="H20" i="34"/>
  <c r="L20" i="34" s="1"/>
  <c r="P14" i="12"/>
  <c r="G20" i="34"/>
  <c r="K20" i="34" s="1"/>
  <c r="K10" i="34"/>
  <c r="P16" i="12"/>
  <c r="I20" i="34"/>
  <c r="M20" i="34" s="1"/>
  <c r="M10" i="34"/>
  <c r="J20" i="11"/>
  <c r="K20" i="11" s="1"/>
  <c r="L32" i="31"/>
  <c r="L37" i="31" s="1"/>
  <c r="I34" i="34" s="1"/>
  <c r="J32" i="31"/>
  <c r="J37" i="31" s="1"/>
  <c r="G34" i="34" s="1"/>
  <c r="K37" i="31"/>
  <c r="H34" i="34" s="1"/>
  <c r="J18" i="1"/>
  <c r="N16" i="33"/>
  <c r="N19" i="33" s="1"/>
  <c r="L16" i="33"/>
  <c r="L19" i="33" s="1"/>
  <c r="M16" i="33"/>
  <c r="M19" i="33" s="1"/>
  <c r="F19" i="33"/>
  <c r="M65" i="1"/>
  <c r="Q15" i="1"/>
  <c r="Q17" i="1" s="1"/>
  <c r="Q18" i="1" s="1"/>
  <c r="Q19" i="1" s="1"/>
  <c r="P17" i="1"/>
  <c r="P18" i="1" s="1"/>
  <c r="P19" i="1" s="1"/>
  <c r="M62" i="1"/>
  <c r="M18" i="9"/>
  <c r="N18" i="9" s="1"/>
  <c r="O18" i="9" s="1"/>
  <c r="P18" i="9" s="1"/>
  <c r="Q18" i="9" s="1"/>
  <c r="M12" i="31"/>
  <c r="N65" i="1"/>
  <c r="N9" i="1"/>
  <c r="N10" i="1" s="1"/>
  <c r="N12" i="31"/>
  <c r="J16" i="10"/>
  <c r="J13" i="11"/>
  <c r="K64" i="9"/>
  <c r="K35" i="9" s="1"/>
  <c r="H54" i="9"/>
  <c r="K62" i="9"/>
  <c r="J61" i="9"/>
  <c r="J30" i="9" s="1"/>
  <c r="J79" i="1"/>
  <c r="J78" i="1" s="1"/>
  <c r="J19" i="1"/>
  <c r="J46" i="1"/>
  <c r="K18" i="1"/>
  <c r="K10" i="1"/>
  <c r="L18" i="1"/>
  <c r="L10" i="1"/>
  <c r="O19" i="1"/>
  <c r="O46" i="1"/>
  <c r="M18" i="1"/>
  <c r="M10" i="1"/>
  <c r="H16" i="9"/>
  <c r="H26" i="9" s="1"/>
  <c r="J30" i="11"/>
  <c r="J27" i="11"/>
  <c r="J24" i="11"/>
  <c r="J13" i="9" s="1"/>
  <c r="J8" i="11" s="1"/>
  <c r="J32" i="11"/>
  <c r="I34" i="11"/>
  <c r="I35" i="11" s="1"/>
  <c r="J35" i="11" s="1"/>
  <c r="J34" i="11" s="1"/>
  <c r="G14" i="11"/>
  <c r="G22" i="11"/>
  <c r="J22" i="11" s="1"/>
  <c r="K22" i="11" s="1"/>
  <c r="L22" i="11" s="1"/>
  <c r="M22" i="11" s="1"/>
  <c r="N22" i="11" s="1"/>
  <c r="O22" i="11" s="1"/>
  <c r="P22" i="11" s="1"/>
  <c r="Q22" i="11" s="1"/>
  <c r="I14" i="11"/>
  <c r="E54" i="9"/>
  <c r="E58" i="9" s="1"/>
  <c r="I16" i="9"/>
  <c r="I26" i="9" s="1"/>
  <c r="E14" i="11"/>
  <c r="E16" i="9"/>
  <c r="E26" i="9" s="1"/>
  <c r="F14" i="11"/>
  <c r="G16" i="9"/>
  <c r="G26" i="9" s="1"/>
  <c r="D54" i="9"/>
  <c r="D58" i="9" s="1"/>
  <c r="F16" i="9"/>
  <c r="F26" i="9" s="1"/>
  <c r="D14" i="11"/>
  <c r="D15" i="11" s="1"/>
  <c r="H14" i="11"/>
  <c r="F54" i="9"/>
  <c r="F58" i="9" s="1"/>
  <c r="G54" i="9"/>
  <c r="H58" i="9"/>
  <c r="I54" i="9"/>
  <c r="D16" i="9"/>
  <c r="D26" i="9" s="1"/>
  <c r="D18" i="1"/>
  <c r="D19" i="1" s="1"/>
  <c r="G18" i="1"/>
  <c r="G19" i="1" s="1"/>
  <c r="F18" i="1"/>
  <c r="E18" i="1"/>
  <c r="E26" i="1" s="1"/>
  <c r="E34" i="1" s="1"/>
  <c r="H18" i="1"/>
  <c r="H26" i="1" s="1"/>
  <c r="H34" i="1" s="1"/>
  <c r="I18" i="1"/>
  <c r="H10" i="1"/>
  <c r="I10" i="1"/>
  <c r="D10" i="1"/>
  <c r="D48" i="34" l="1"/>
  <c r="E48" i="34" s="1"/>
  <c r="F48" i="34"/>
  <c r="G48" i="34" s="1"/>
  <c r="J29" i="11"/>
  <c r="J15" i="9" s="1"/>
  <c r="J10" i="11" s="1"/>
  <c r="T5" i="31"/>
  <c r="V5" i="31"/>
  <c r="U5" i="31"/>
  <c r="Q46" i="1"/>
  <c r="Q47" i="1" s="1"/>
  <c r="T23" i="33"/>
  <c r="M40" i="33"/>
  <c r="S23" i="33"/>
  <c r="L40" i="33"/>
  <c r="N40" i="33"/>
  <c r="U23" i="33"/>
  <c r="P46" i="1"/>
  <c r="P47" i="1" s="1"/>
  <c r="N18" i="1"/>
  <c r="N46" i="1" s="1"/>
  <c r="N47" i="1" s="1"/>
  <c r="I15" i="11"/>
  <c r="I17" i="11"/>
  <c r="H15" i="11"/>
  <c r="H17" i="11"/>
  <c r="G15" i="11"/>
  <c r="G17" i="11"/>
  <c r="F15" i="11"/>
  <c r="F17" i="11"/>
  <c r="E15" i="11"/>
  <c r="E17" i="11"/>
  <c r="I56" i="9"/>
  <c r="H56" i="9"/>
  <c r="K16" i="10"/>
  <c r="K13" i="11"/>
  <c r="L64" i="9"/>
  <c r="L35" i="9" s="1"/>
  <c r="K79" i="1"/>
  <c r="L79" i="1" s="1"/>
  <c r="J21" i="10"/>
  <c r="L62" i="9"/>
  <c r="K61" i="9"/>
  <c r="K30" i="9" s="1"/>
  <c r="K24" i="11"/>
  <c r="J9" i="9"/>
  <c r="J6" i="11" s="1"/>
  <c r="J10" i="9"/>
  <c r="J7" i="11" s="1"/>
  <c r="K32" i="11"/>
  <c r="J29" i="9"/>
  <c r="J12" i="11" s="1"/>
  <c r="J49" i="1"/>
  <c r="J54" i="1" s="1"/>
  <c r="J86" i="1"/>
  <c r="L19" i="1"/>
  <c r="L46" i="1"/>
  <c r="M46" i="1"/>
  <c r="M19" i="1"/>
  <c r="K46" i="1"/>
  <c r="K19" i="1"/>
  <c r="J47" i="1"/>
  <c r="O47" i="1"/>
  <c r="E56" i="9"/>
  <c r="K30" i="11"/>
  <c r="K35" i="11"/>
  <c r="K34" i="11" s="1"/>
  <c r="J26" i="11"/>
  <c r="J14" i="9" s="1"/>
  <c r="J9" i="11" s="1"/>
  <c r="K27" i="11"/>
  <c r="F56" i="9"/>
  <c r="D56" i="9"/>
  <c r="I58" i="9"/>
  <c r="G56" i="9"/>
  <c r="G58" i="9"/>
  <c r="E38" i="1"/>
  <c r="E40" i="1" s="1"/>
  <c r="E6" i="10" s="1"/>
  <c r="H38" i="1"/>
  <c r="H40" i="1" s="1"/>
  <c r="H6" i="10" s="1"/>
  <c r="H23" i="10" s="1"/>
  <c r="I46" i="1"/>
  <c r="I55" i="1" s="1"/>
  <c r="L15" i="12" s="1"/>
  <c r="I26" i="1"/>
  <c r="I34" i="1" s="1"/>
  <c r="F46" i="1"/>
  <c r="F55" i="1" s="1"/>
  <c r="F26" i="1"/>
  <c r="F34" i="1" s="1"/>
  <c r="G46" i="1"/>
  <c r="G55" i="1" s="1"/>
  <c r="G26" i="1"/>
  <c r="G34" i="1" s="1"/>
  <c r="D26" i="1"/>
  <c r="H19" i="1"/>
  <c r="H46" i="1"/>
  <c r="H55" i="1" s="1"/>
  <c r="E19" i="1"/>
  <c r="E46" i="1"/>
  <c r="E55" i="1" s="1"/>
  <c r="D46" i="1"/>
  <c r="D55" i="1" s="1"/>
  <c r="F19" i="1"/>
  <c r="I19" i="1"/>
  <c r="L30" i="11" l="1"/>
  <c r="L29" i="11" s="1"/>
  <c r="L15" i="9" s="1"/>
  <c r="K29" i="11"/>
  <c r="K15" i="9" s="1"/>
  <c r="J24" i="33"/>
  <c r="N24" i="33" s="1"/>
  <c r="U25" i="33"/>
  <c r="H24" i="33"/>
  <c r="L24" i="33" s="1"/>
  <c r="S25" i="33"/>
  <c r="T25" i="33"/>
  <c r="I24" i="33"/>
  <c r="M24" i="33" s="1"/>
  <c r="N19" i="1"/>
  <c r="L16" i="10"/>
  <c r="L13" i="11"/>
  <c r="J14" i="11"/>
  <c r="M64" i="9"/>
  <c r="M35" i="9" s="1"/>
  <c r="K78" i="1"/>
  <c r="K49" i="1" s="1"/>
  <c r="K54" i="1" s="1"/>
  <c r="K55" i="1" s="1"/>
  <c r="K5" i="31" s="1"/>
  <c r="D34" i="1"/>
  <c r="D38" i="1" s="1"/>
  <c r="D40" i="1" s="1"/>
  <c r="J10" i="10"/>
  <c r="J19" i="10"/>
  <c r="E23" i="10"/>
  <c r="E45" i="10" s="1"/>
  <c r="E49" i="10" s="1"/>
  <c r="J20" i="10"/>
  <c r="J18" i="10"/>
  <c r="M62" i="9"/>
  <c r="L61" i="9"/>
  <c r="L32" i="11"/>
  <c r="K29" i="9"/>
  <c r="K12" i="11" s="1"/>
  <c r="K10" i="9"/>
  <c r="K7" i="11" s="1"/>
  <c r="J11" i="9"/>
  <c r="L20" i="11"/>
  <c r="K9" i="9"/>
  <c r="K6" i="11" s="1"/>
  <c r="L24" i="11"/>
  <c r="K13" i="9"/>
  <c r="J55" i="1"/>
  <c r="J5" i="31" s="1"/>
  <c r="M79" i="1"/>
  <c r="L78" i="1"/>
  <c r="M47" i="1"/>
  <c r="L47" i="1"/>
  <c r="K47" i="1"/>
  <c r="K10" i="11"/>
  <c r="H45" i="10"/>
  <c r="H49" i="10" s="1"/>
  <c r="L10" i="11"/>
  <c r="M30" i="11"/>
  <c r="M29" i="11" s="1"/>
  <c r="M15" i="9" s="1"/>
  <c r="L27" i="11"/>
  <c r="K26" i="11"/>
  <c r="K14" i="9" s="1"/>
  <c r="L35" i="11"/>
  <c r="L34" i="11" s="1"/>
  <c r="D58" i="1"/>
  <c r="D59" i="1" s="1"/>
  <c r="F47" i="1"/>
  <c r="F58" i="1"/>
  <c r="F59" i="1" s="1"/>
  <c r="H47" i="1"/>
  <c r="H58" i="1"/>
  <c r="H59" i="1" s="1"/>
  <c r="I47" i="1"/>
  <c r="I58" i="1"/>
  <c r="I59" i="1" s="1"/>
  <c r="E47" i="1"/>
  <c r="E58" i="1"/>
  <c r="E59" i="1" s="1"/>
  <c r="G47" i="1"/>
  <c r="G58" i="1"/>
  <c r="G59" i="1" s="1"/>
  <c r="D47" i="1"/>
  <c r="H41" i="1"/>
  <c r="H44" i="1"/>
  <c r="H45" i="1" s="1"/>
  <c r="E41" i="1"/>
  <c r="E44" i="1"/>
  <c r="E45" i="1" s="1"/>
  <c r="I38" i="1"/>
  <c r="I40" i="1" s="1"/>
  <c r="F38" i="1"/>
  <c r="F40" i="1" s="1"/>
  <c r="F6" i="10" s="1"/>
  <c r="G38" i="1"/>
  <c r="G40" i="1" s="1"/>
  <c r="G6" i="10" s="1"/>
  <c r="L30" i="9" l="1"/>
  <c r="L22" i="10" s="1"/>
  <c r="T27" i="33"/>
  <c r="I32" i="33"/>
  <c r="M32" i="33" s="1"/>
  <c r="H32" i="33"/>
  <c r="L32" i="33" s="1"/>
  <c r="S27" i="33"/>
  <c r="J32" i="33"/>
  <c r="N32" i="33" s="1"/>
  <c r="U27" i="33"/>
  <c r="J15" i="11"/>
  <c r="J17" i="11"/>
  <c r="J19" i="9"/>
  <c r="J20" i="9" s="1"/>
  <c r="J6" i="31"/>
  <c r="M16" i="10"/>
  <c r="M13" i="11"/>
  <c r="K19" i="10"/>
  <c r="K9" i="11"/>
  <c r="K18" i="10"/>
  <c r="K8" i="11"/>
  <c r="N64" i="9"/>
  <c r="N35" i="9" s="1"/>
  <c r="K7" i="10"/>
  <c r="K86" i="1"/>
  <c r="D6" i="10"/>
  <c r="D23" i="10" s="1"/>
  <c r="D45" i="10" s="1"/>
  <c r="D49" i="10" s="1"/>
  <c r="D44" i="1"/>
  <c r="D45" i="1" s="1"/>
  <c r="D41" i="1"/>
  <c r="G23" i="10"/>
  <c r="G45" i="10" s="1"/>
  <c r="G49" i="10" s="1"/>
  <c r="F23" i="10"/>
  <c r="F45" i="10" s="1"/>
  <c r="F49" i="10" s="1"/>
  <c r="L21" i="10"/>
  <c r="K21" i="10"/>
  <c r="J17" i="10"/>
  <c r="K20" i="10"/>
  <c r="M61" i="9"/>
  <c r="N62" i="9"/>
  <c r="K11" i="9"/>
  <c r="K17" i="10" s="1"/>
  <c r="M24" i="11"/>
  <c r="L13" i="9"/>
  <c r="L8" i="11" s="1"/>
  <c r="M20" i="11"/>
  <c r="L9" i="9"/>
  <c r="L6" i="11" s="1"/>
  <c r="L10" i="9"/>
  <c r="L7" i="11" s="1"/>
  <c r="M32" i="11"/>
  <c r="L29" i="9"/>
  <c r="L12" i="11" s="1"/>
  <c r="L7" i="10"/>
  <c r="L49" i="1"/>
  <c r="L54" i="1" s="1"/>
  <c r="L55" i="1" s="1"/>
  <c r="L5" i="31" s="1"/>
  <c r="L86" i="1"/>
  <c r="I6" i="10"/>
  <c r="N79" i="1"/>
  <c r="M78" i="1"/>
  <c r="M35" i="11"/>
  <c r="M34" i="11" s="1"/>
  <c r="L26" i="11"/>
  <c r="L14" i="9" s="1"/>
  <c r="L9" i="11" s="1"/>
  <c r="M27" i="11"/>
  <c r="N30" i="11"/>
  <c r="N29" i="11" s="1"/>
  <c r="N15" i="9" s="1"/>
  <c r="G41" i="1"/>
  <c r="G44" i="1"/>
  <c r="G45" i="1" s="1"/>
  <c r="F41" i="1"/>
  <c r="F44" i="1"/>
  <c r="F45" i="1" s="1"/>
  <c r="I41" i="1"/>
  <c r="I44" i="1"/>
  <c r="I45" i="1" s="1"/>
  <c r="M30" i="9" l="1"/>
  <c r="M22" i="10" s="1"/>
  <c r="U29" i="33"/>
  <c r="V27" i="33"/>
  <c r="S29" i="33"/>
  <c r="T29" i="33"/>
  <c r="J13" i="31"/>
  <c r="J55" i="10"/>
  <c r="J54" i="10"/>
  <c r="J11" i="31"/>
  <c r="J7" i="31"/>
  <c r="J8" i="31" s="1"/>
  <c r="J9" i="31" s="1"/>
  <c r="K14" i="11"/>
  <c r="N16" i="10"/>
  <c r="N13" i="11"/>
  <c r="L14" i="11"/>
  <c r="M21" i="10"/>
  <c r="M10" i="11"/>
  <c r="P64" i="9"/>
  <c r="P35" i="9" s="1"/>
  <c r="P13" i="11" s="1"/>
  <c r="K10" i="10"/>
  <c r="L10" i="10"/>
  <c r="L6" i="31" s="1"/>
  <c r="L19" i="10"/>
  <c r="I23" i="10"/>
  <c r="I45" i="10" s="1"/>
  <c r="I49" i="10" s="1"/>
  <c r="L18" i="10"/>
  <c r="L20" i="10"/>
  <c r="O62" i="9"/>
  <c r="N61" i="9"/>
  <c r="L11" i="9"/>
  <c r="L17" i="10" s="1"/>
  <c r="M10" i="9"/>
  <c r="M7" i="11" s="1"/>
  <c r="N20" i="11"/>
  <c r="M9" i="9"/>
  <c r="M6" i="11" s="1"/>
  <c r="N32" i="11"/>
  <c r="M29" i="9"/>
  <c r="M12" i="11" s="1"/>
  <c r="N24" i="11"/>
  <c r="M13" i="9"/>
  <c r="M8" i="11" s="1"/>
  <c r="M86" i="1"/>
  <c r="M7" i="10"/>
  <c r="M49" i="1"/>
  <c r="M54" i="1" s="1"/>
  <c r="M55" i="1" s="1"/>
  <c r="M5" i="31" s="1"/>
  <c r="O79" i="1"/>
  <c r="N78" i="1"/>
  <c r="N10" i="11"/>
  <c r="O30" i="11"/>
  <c r="O29" i="11" s="1"/>
  <c r="O15" i="9" s="1"/>
  <c r="N27" i="11"/>
  <c r="M26" i="11"/>
  <c r="M14" i="9" s="1"/>
  <c r="M9" i="11" s="1"/>
  <c r="N35" i="11"/>
  <c r="N34" i="11" s="1"/>
  <c r="I28" i="33" l="1"/>
  <c r="M28" i="33" s="1"/>
  <c r="I25" i="33"/>
  <c r="M25" i="33" s="1"/>
  <c r="H25" i="33"/>
  <c r="L25" i="33" s="1"/>
  <c r="H28" i="33"/>
  <c r="L28" i="33" s="1"/>
  <c r="J28" i="33"/>
  <c r="N28" i="33" s="1"/>
  <c r="J25" i="33"/>
  <c r="N25" i="33" s="1"/>
  <c r="N30" i="9"/>
  <c r="N22" i="10" s="1"/>
  <c r="T31" i="33"/>
  <c r="V29" i="33"/>
  <c r="S31" i="33"/>
  <c r="U31" i="33"/>
  <c r="J14" i="31"/>
  <c r="L15" i="11"/>
  <c r="L17" i="11"/>
  <c r="L11" i="31"/>
  <c r="L7" i="31"/>
  <c r="K19" i="9"/>
  <c r="K20" i="9" s="1"/>
  <c r="K6" i="31"/>
  <c r="K15" i="11"/>
  <c r="K17" i="11"/>
  <c r="M14" i="11"/>
  <c r="O64" i="9"/>
  <c r="O35" i="9" s="1"/>
  <c r="Q64" i="9"/>
  <c r="Q35" i="9" s="1"/>
  <c r="M10" i="10"/>
  <c r="M6" i="31" s="1"/>
  <c r="M19" i="10"/>
  <c r="M20" i="10"/>
  <c r="N21" i="10"/>
  <c r="M18" i="10"/>
  <c r="M11" i="9"/>
  <c r="M17" i="10" s="1"/>
  <c r="O61" i="9"/>
  <c r="P62" i="9"/>
  <c r="O20" i="11"/>
  <c r="N9" i="9"/>
  <c r="N6" i="11" s="1"/>
  <c r="O24" i="11"/>
  <c r="N13" i="9"/>
  <c r="O32" i="11"/>
  <c r="N29" i="9"/>
  <c r="N12" i="11" s="1"/>
  <c r="N10" i="9"/>
  <c r="N7" i="11" s="1"/>
  <c r="N86" i="1"/>
  <c r="N7" i="10"/>
  <c r="N49" i="1"/>
  <c r="N54" i="1" s="1"/>
  <c r="N55" i="1" s="1"/>
  <c r="N5" i="31" s="1"/>
  <c r="P79" i="1"/>
  <c r="O78" i="1"/>
  <c r="O35" i="11"/>
  <c r="O34" i="11" s="1"/>
  <c r="N26" i="11"/>
  <c r="N14" i="9" s="1"/>
  <c r="N9" i="11" s="1"/>
  <c r="O27" i="11"/>
  <c r="O10" i="11"/>
  <c r="P30" i="11"/>
  <c r="P29" i="11" s="1"/>
  <c r="P15" i="9" s="1"/>
  <c r="O30" i="9" l="1"/>
  <c r="O22" i="10" s="1"/>
  <c r="J35" i="33"/>
  <c r="N35" i="33" s="1"/>
  <c r="U33" i="33"/>
  <c r="V31" i="33"/>
  <c r="H35" i="33"/>
  <c r="L35" i="33" s="1"/>
  <c r="S33" i="33"/>
  <c r="T33" i="33"/>
  <c r="I35" i="33"/>
  <c r="M35" i="33" s="1"/>
  <c r="L19" i="9"/>
  <c r="L20" i="9" s="1"/>
  <c r="K11" i="31"/>
  <c r="K7" i="31"/>
  <c r="L8" i="31"/>
  <c r="L9" i="31" s="1"/>
  <c r="M11" i="31"/>
  <c r="M7" i="31"/>
  <c r="L13" i="31"/>
  <c r="L55" i="10"/>
  <c r="L54" i="10"/>
  <c r="M15" i="11"/>
  <c r="M17" i="11"/>
  <c r="K13" i="31"/>
  <c r="K55" i="10"/>
  <c r="K54" i="10"/>
  <c r="Q16" i="10"/>
  <c r="Q13" i="11"/>
  <c r="O16" i="10"/>
  <c r="O13" i="11"/>
  <c r="N18" i="10"/>
  <c r="N8" i="11"/>
  <c r="N14" i="11" s="1"/>
  <c r="P16" i="10"/>
  <c r="N10" i="10"/>
  <c r="N6" i="31" s="1"/>
  <c r="N19" i="10"/>
  <c r="N20" i="10"/>
  <c r="O21" i="10"/>
  <c r="Q62" i="9"/>
  <c r="P61" i="9"/>
  <c r="N11" i="9"/>
  <c r="N17" i="10" s="1"/>
  <c r="O10" i="9"/>
  <c r="O7" i="11" s="1"/>
  <c r="P32" i="11"/>
  <c r="O29" i="9"/>
  <c r="O12" i="11" s="1"/>
  <c r="P24" i="11"/>
  <c r="O13" i="9"/>
  <c r="P20" i="11"/>
  <c r="O9" i="9"/>
  <c r="O6" i="11" s="1"/>
  <c r="O86" i="1"/>
  <c r="O7" i="10"/>
  <c r="O49" i="1"/>
  <c r="O54" i="1" s="1"/>
  <c r="O55" i="1" s="1"/>
  <c r="O5" i="31" s="1"/>
  <c r="Q79" i="1"/>
  <c r="P78" i="1"/>
  <c r="Q30" i="11"/>
  <c r="Q29" i="11" s="1"/>
  <c r="Q15" i="9" s="1"/>
  <c r="P27" i="11"/>
  <c r="O26" i="11"/>
  <c r="O14" i="9" s="1"/>
  <c r="O9" i="11" s="1"/>
  <c r="P35" i="11"/>
  <c r="P34" i="11" s="1"/>
  <c r="P30" i="9" l="1"/>
  <c r="P22" i="10" s="1"/>
  <c r="T35" i="33"/>
  <c r="I22" i="33"/>
  <c r="M22" i="33" s="1"/>
  <c r="H22" i="33"/>
  <c r="L22" i="33" s="1"/>
  <c r="V33" i="33"/>
  <c r="S35" i="33"/>
  <c r="J22" i="33"/>
  <c r="N22" i="33" s="1"/>
  <c r="U35" i="33"/>
  <c r="M19" i="9"/>
  <c r="M20" i="9" s="1"/>
  <c r="L14" i="31"/>
  <c r="M8" i="31"/>
  <c r="M9" i="31" s="1"/>
  <c r="N15" i="11"/>
  <c r="N17" i="11"/>
  <c r="M13" i="31"/>
  <c r="M55" i="10"/>
  <c r="M54" i="10"/>
  <c r="K8" i="31"/>
  <c r="K9" i="31" s="1"/>
  <c r="K14" i="31" s="1"/>
  <c r="N11" i="31"/>
  <c r="N7" i="31"/>
  <c r="P21" i="10"/>
  <c r="P10" i="11"/>
  <c r="O18" i="10"/>
  <c r="O8" i="11"/>
  <c r="O14" i="11" s="1"/>
  <c r="O10" i="10"/>
  <c r="O6" i="31" s="1"/>
  <c r="O19" i="10"/>
  <c r="O20" i="10"/>
  <c r="Q61" i="9"/>
  <c r="O11" i="9"/>
  <c r="O17" i="10" s="1"/>
  <c r="Q20" i="11"/>
  <c r="P9" i="9"/>
  <c r="P6" i="11" s="1"/>
  <c r="Q32" i="11"/>
  <c r="P29" i="9"/>
  <c r="P12" i="11" s="1"/>
  <c r="Q24" i="11"/>
  <c r="P13" i="9"/>
  <c r="P10" i="9"/>
  <c r="P7" i="11" s="1"/>
  <c r="P86" i="1"/>
  <c r="P49" i="1"/>
  <c r="P54" i="1" s="1"/>
  <c r="P55" i="1" s="1"/>
  <c r="P5" i="31" s="1"/>
  <c r="P7" i="10"/>
  <c r="Q78" i="1"/>
  <c r="Q27" i="11"/>
  <c r="P26" i="11"/>
  <c r="P14" i="9" s="1"/>
  <c r="P9" i="11" s="1"/>
  <c r="Q35" i="11"/>
  <c r="Q34" i="11" s="1"/>
  <c r="Q10" i="11"/>
  <c r="Q30" i="9" l="1"/>
  <c r="Q22" i="10" s="1"/>
  <c r="X35" i="33"/>
  <c r="V35" i="33"/>
  <c r="N19" i="9"/>
  <c r="N20" i="9" s="1"/>
  <c r="O11" i="31"/>
  <c r="O7" i="31"/>
  <c r="O8" i="31" s="1"/>
  <c r="O9" i="31" s="1"/>
  <c r="N13" i="31"/>
  <c r="N55" i="10"/>
  <c r="N54" i="10"/>
  <c r="N8" i="31"/>
  <c r="N9" i="31" s="1"/>
  <c r="M14" i="31"/>
  <c r="O15" i="11"/>
  <c r="O17" i="11"/>
  <c r="O54" i="10" s="1"/>
  <c r="P18" i="10"/>
  <c r="P8" i="11"/>
  <c r="P14" i="11" s="1"/>
  <c r="O19" i="9"/>
  <c r="O20" i="9" s="1"/>
  <c r="P10" i="10"/>
  <c r="P6" i="31" s="1"/>
  <c r="P19" i="10"/>
  <c r="P20" i="10"/>
  <c r="Q21" i="10"/>
  <c r="Q29" i="9"/>
  <c r="Q12" i="11" s="1"/>
  <c r="Q10" i="9"/>
  <c r="Q7" i="11" s="1"/>
  <c r="Q13" i="9"/>
  <c r="P11" i="9"/>
  <c r="P17" i="10" s="1"/>
  <c r="Q9" i="9"/>
  <c r="Q6" i="11" s="1"/>
  <c r="Q49" i="1"/>
  <c r="Q54" i="1" s="1"/>
  <c r="Q55" i="1" s="1"/>
  <c r="Q5" i="31" s="1"/>
  <c r="Q86" i="1"/>
  <c r="Q7" i="10"/>
  <c r="Q26" i="11"/>
  <c r="Q14" i="9" s="1"/>
  <c r="Q9" i="11" s="1"/>
  <c r="U8" i="31" l="1"/>
  <c r="U10" i="31" s="1"/>
  <c r="T8" i="31"/>
  <c r="T10" i="31" s="1"/>
  <c r="V8" i="31"/>
  <c r="V10" i="31" s="1"/>
  <c r="N14" i="31"/>
  <c r="P11" i="31"/>
  <c r="P7" i="31"/>
  <c r="P15" i="11"/>
  <c r="P17" i="11"/>
  <c r="O13" i="31"/>
  <c r="O14" i="31" s="1"/>
  <c r="O55" i="10"/>
  <c r="Q18" i="10"/>
  <c r="Q8" i="11"/>
  <c r="Q14" i="11" s="1"/>
  <c r="P19" i="9"/>
  <c r="P20" i="9" s="1"/>
  <c r="Q10" i="10"/>
  <c r="Q6" i="31" s="1"/>
  <c r="Q19" i="10"/>
  <c r="Q20" i="10"/>
  <c r="Q11" i="9"/>
  <c r="Q17" i="10" s="1"/>
  <c r="P13" i="31" l="1"/>
  <c r="P55" i="10"/>
  <c r="P54" i="10"/>
  <c r="Q11" i="31"/>
  <c r="T11" i="31"/>
  <c r="T12" i="31" s="1"/>
  <c r="T13" i="31" s="1"/>
  <c r="T14" i="31" s="1"/>
  <c r="U11" i="31"/>
  <c r="U12" i="31" s="1"/>
  <c r="U13" i="31" s="1"/>
  <c r="U14" i="31" s="1"/>
  <c r="V11" i="31"/>
  <c r="V12" i="31" s="1"/>
  <c r="V13" i="31" s="1"/>
  <c r="V14" i="31" s="1"/>
  <c r="Q7" i="31"/>
  <c r="Q8" i="31" s="1"/>
  <c r="Q9" i="31" s="1"/>
  <c r="Q15" i="11"/>
  <c r="Q17" i="11"/>
  <c r="P8" i="31"/>
  <c r="P9" i="31" s="1"/>
  <c r="Q19" i="9"/>
  <c r="Q20" i="9" s="1"/>
  <c r="P14" i="31" l="1"/>
  <c r="U15" i="31"/>
  <c r="T15" i="31"/>
  <c r="V15" i="31"/>
  <c r="Q13" i="31"/>
  <c r="Q14" i="31" s="1"/>
  <c r="Q55" i="10"/>
  <c r="Q54" i="10"/>
  <c r="U17" i="31" l="1"/>
  <c r="U18" i="31" s="1"/>
  <c r="T17" i="31"/>
  <c r="T18" i="31" s="1"/>
  <c r="V17" i="31"/>
  <c r="V18" i="31" s="1"/>
  <c r="T19" i="31" l="1"/>
  <c r="U19" i="31"/>
  <c r="V19" i="31"/>
  <c r="K31" i="9" l="1"/>
  <c r="L31" i="9"/>
  <c r="M38" i="10" s="1"/>
  <c r="M31" i="9"/>
  <c r="N31" i="9"/>
  <c r="O31" i="9"/>
  <c r="P31" i="9"/>
  <c r="Q31" i="9"/>
  <c r="N38" i="10"/>
  <c r="O38" i="10"/>
  <c r="Q38" i="10" l="1"/>
  <c r="L38" i="10"/>
  <c r="P38" i="10"/>
  <c r="J22" i="10" l="1"/>
  <c r="K22" i="10"/>
  <c r="J17" i="31" l="1"/>
  <c r="K17" i="31"/>
  <c r="L17" i="31"/>
  <c r="M17" i="31"/>
  <c r="N17" i="31"/>
  <c r="O17" i="31"/>
  <c r="P17" i="31"/>
  <c r="Q17" i="31"/>
  <c r="J18" i="31"/>
  <c r="K18" i="31"/>
  <c r="L18" i="31"/>
  <c r="M18" i="31"/>
  <c r="N18" i="31"/>
  <c r="O18" i="31"/>
  <c r="P18" i="31"/>
  <c r="Q18" i="31"/>
  <c r="J19" i="31"/>
  <c r="K19" i="31"/>
  <c r="L19" i="31"/>
  <c r="M19" i="31"/>
  <c r="N19" i="31"/>
  <c r="O19" i="31"/>
  <c r="P19" i="31"/>
  <c r="Q19" i="31"/>
  <c r="T20" i="31"/>
  <c r="T24" i="31" s="1"/>
  <c r="U20" i="31"/>
  <c r="U24" i="31" s="1"/>
  <c r="V20" i="31"/>
  <c r="V24" i="31" s="1"/>
  <c r="V23" i="31" l="1"/>
  <c r="U23" i="31"/>
  <c r="U25" i="31" s="1"/>
  <c r="T23" i="31"/>
  <c r="T25" i="31" s="1"/>
  <c r="V25" i="31" l="1"/>
  <c r="V33" i="31" s="1"/>
  <c r="U33" i="31"/>
  <c r="K34" i="34"/>
  <c r="T28" i="31"/>
  <c r="T30" i="31" s="1"/>
  <c r="K7" i="34"/>
  <c r="L34" i="34"/>
  <c r="U28" i="31"/>
  <c r="U30" i="31" s="1"/>
  <c r="L7" i="34"/>
  <c r="U34" i="31"/>
  <c r="T33" i="31"/>
  <c r="T34" i="31"/>
  <c r="U35" i="31" l="1"/>
  <c r="V34" i="31"/>
  <c r="V35" i="31" s="1"/>
  <c r="M34" i="34"/>
  <c r="D46" i="34" s="1"/>
  <c r="V28" i="31"/>
  <c r="V30" i="31" s="1"/>
  <c r="M7" i="34"/>
  <c r="T35" i="31"/>
  <c r="F46" i="34" l="1"/>
  <c r="G46" i="34" s="1"/>
  <c r="E46" i="34"/>
  <c r="S36" i="33" l="1"/>
  <c r="T36" i="33"/>
  <c r="U36" i="33"/>
  <c r="U37" i="33" s="1"/>
  <c r="X37" i="33" s="1"/>
  <c r="H23" i="33"/>
  <c r="L23" i="33" s="1"/>
  <c r="I23" i="33"/>
  <c r="M23" i="33" s="1"/>
  <c r="J23" i="33"/>
  <c r="N23" i="33" s="1"/>
  <c r="S37" i="33"/>
  <c r="T37" i="33"/>
  <c r="V37" i="33"/>
  <c r="S38" i="33"/>
  <c r="T38" i="33"/>
  <c r="U38" i="33"/>
  <c r="J26" i="33" s="1"/>
  <c r="N26" i="33" s="1"/>
  <c r="U39" i="33"/>
  <c r="X39" i="33"/>
  <c r="I26" i="33" l="1"/>
  <c r="M26" i="33" s="1"/>
  <c r="T39" i="33"/>
  <c r="H26" i="33"/>
  <c r="L26" i="33" s="1"/>
  <c r="S39" i="33"/>
  <c r="V39" i="33" s="1"/>
  <c r="I27" i="33"/>
  <c r="M27" i="33" s="1"/>
  <c r="S40" i="33"/>
  <c r="H27" i="33" s="1"/>
  <c r="L27" i="33" s="1"/>
  <c r="T40" i="33"/>
  <c r="U40" i="33"/>
  <c r="T41" i="33"/>
  <c r="S41" i="33" l="1"/>
  <c r="V41" i="33" s="1"/>
  <c r="U41" i="33"/>
  <c r="X41" i="33" s="1"/>
  <c r="J27" i="33"/>
  <c r="N27" i="33" s="1"/>
  <c r="S42" i="33"/>
  <c r="T42" i="33"/>
  <c r="U42" i="33"/>
  <c r="J29" i="33" s="1"/>
  <c r="N29" i="33" s="1"/>
  <c r="H29" i="33"/>
  <c r="L29" i="33" s="1"/>
  <c r="L30" i="33" s="1"/>
  <c r="I29" i="33"/>
  <c r="M29" i="33" s="1"/>
  <c r="M30" i="33" s="1"/>
  <c r="U43" i="33"/>
  <c r="X43" i="33"/>
  <c r="N30" i="33" l="1"/>
  <c r="T43" i="33"/>
  <c r="S43" i="33"/>
  <c r="V43" i="33" s="1"/>
  <c r="J33" i="33"/>
  <c r="M33" i="33"/>
  <c r="N33" i="33"/>
  <c r="S44" i="33"/>
  <c r="S45" i="33" s="1"/>
  <c r="T44" i="33"/>
  <c r="T45" i="33" s="1"/>
  <c r="U44" i="33"/>
  <c r="H33" i="33"/>
  <c r="L33" i="33" s="1"/>
  <c r="I33" i="33"/>
  <c r="U45" i="33"/>
  <c r="V45" i="33"/>
  <c r="X45" i="33"/>
  <c r="H34" i="33"/>
  <c r="L34" i="33" s="1"/>
  <c r="S46" i="33"/>
  <c r="T46" i="33"/>
  <c r="T47" i="33" s="1"/>
  <c r="U46" i="33"/>
  <c r="J34" i="33" s="1"/>
  <c r="N34" i="33" s="1"/>
  <c r="S47" i="33"/>
  <c r="V47" i="33"/>
  <c r="L46" i="33" l="1"/>
  <c r="N46" i="33"/>
  <c r="I34" i="33"/>
  <c r="M34" i="33" s="1"/>
  <c r="U47" i="33"/>
  <c r="X47" i="33" s="1"/>
  <c r="M46" i="33" l="1"/>
  <c r="S48" i="33"/>
  <c r="H36" i="33" s="1"/>
  <c r="L36" i="33" s="1"/>
  <c r="L37" i="33" s="1"/>
  <c r="L41" i="33" s="1"/>
  <c r="L42" i="33" s="1"/>
  <c r="L45" i="33" s="1"/>
  <c r="L47" i="33" s="1"/>
  <c r="T48" i="33"/>
  <c r="U48" i="33"/>
  <c r="J36" i="33"/>
  <c r="N36" i="33" s="1"/>
  <c r="N37" i="33" s="1"/>
  <c r="N41" i="33" s="1"/>
  <c r="N42" i="33" s="1"/>
  <c r="N45" i="33" s="1"/>
  <c r="N47" i="33" s="1"/>
  <c r="S49" i="33"/>
  <c r="U49" i="33"/>
  <c r="K41" i="34" l="1"/>
  <c r="K6" i="34"/>
  <c r="M6" i="34"/>
  <c r="M41" i="34"/>
  <c r="I36" i="33"/>
  <c r="M36" i="33" s="1"/>
  <c r="M37" i="33" s="1"/>
  <c r="M41" i="33" s="1"/>
  <c r="M42" i="33" s="1"/>
  <c r="M45" i="33" s="1"/>
  <c r="M47" i="33" s="1"/>
  <c r="T49" i="33"/>
  <c r="L6" i="34" l="1"/>
  <c r="M13" i="34" s="1"/>
  <c r="L41" i="34"/>
  <c r="D45" i="34" s="1"/>
  <c r="E45" i="34" s="1"/>
  <c r="K13" i="34" l="1"/>
  <c r="F45" i="34"/>
  <c r="G45" i="34" s="1"/>
  <c r="J22" i="21" l="1"/>
  <c r="U5" i="21" s="1"/>
  <c r="K22" i="21"/>
  <c r="L22" i="21"/>
  <c r="M22" i="21"/>
  <c r="N22" i="21"/>
  <c r="O22" i="21"/>
  <c r="P22" i="21"/>
  <c r="Q22" i="21"/>
  <c r="J6" i="9"/>
  <c r="K6" i="9"/>
  <c r="L6" i="9"/>
  <c r="M6" i="9"/>
  <c r="N6" i="9"/>
  <c r="O6" i="9"/>
  <c r="P6" i="9"/>
  <c r="Q6" i="9"/>
  <c r="J7" i="9"/>
  <c r="K7" i="9"/>
  <c r="L7" i="9"/>
  <c r="M7" i="9"/>
  <c r="N7" i="9"/>
  <c r="O7" i="9"/>
  <c r="P7" i="9"/>
  <c r="Q7" i="9"/>
  <c r="J16" i="9"/>
  <c r="K16" i="9"/>
  <c r="L16" i="9"/>
  <c r="M16" i="9"/>
  <c r="N16" i="9"/>
  <c r="O16" i="9"/>
  <c r="P16" i="9"/>
  <c r="Q16" i="9"/>
  <c r="J26" i="9"/>
  <c r="K26" i="9"/>
  <c r="L26" i="9"/>
  <c r="M26" i="9"/>
  <c r="N26" i="9"/>
  <c r="O26" i="9"/>
  <c r="P26" i="9"/>
  <c r="Q26" i="9"/>
  <c r="J31" i="9"/>
  <c r="J32" i="9"/>
  <c r="K32" i="9"/>
  <c r="L32" i="9"/>
  <c r="M32" i="9"/>
  <c r="N32" i="9"/>
  <c r="O32" i="9"/>
  <c r="P32" i="9"/>
  <c r="Q32" i="9"/>
  <c r="J36" i="9"/>
  <c r="K36" i="9"/>
  <c r="L36" i="9"/>
  <c r="M36" i="9"/>
  <c r="N36" i="9"/>
  <c r="O36" i="9"/>
  <c r="P36" i="9"/>
  <c r="Q36" i="9"/>
  <c r="J38" i="9"/>
  <c r="K38" i="9"/>
  <c r="L38" i="9"/>
  <c r="M38" i="9"/>
  <c r="N38" i="9"/>
  <c r="O38" i="9"/>
  <c r="P38" i="9"/>
  <c r="Q38" i="9"/>
  <c r="J42" i="9"/>
  <c r="K42" i="9"/>
  <c r="L42" i="9"/>
  <c r="M42" i="9"/>
  <c r="N42" i="9"/>
  <c r="O42" i="9"/>
  <c r="P42" i="9"/>
  <c r="Q42" i="9"/>
  <c r="J47" i="9"/>
  <c r="K47" i="9"/>
  <c r="L47" i="9"/>
  <c r="M47" i="9"/>
  <c r="N47" i="9"/>
  <c r="O47" i="9"/>
  <c r="P47" i="9"/>
  <c r="Q47" i="9"/>
  <c r="J50" i="9"/>
  <c r="K50" i="9"/>
  <c r="L50" i="9"/>
  <c r="M50" i="9"/>
  <c r="N50" i="9"/>
  <c r="O50" i="9"/>
  <c r="P50" i="9"/>
  <c r="Q50" i="9"/>
  <c r="J52" i="9"/>
  <c r="K52" i="9"/>
  <c r="L52" i="9"/>
  <c r="M52" i="9"/>
  <c r="N52" i="9"/>
  <c r="O52" i="9"/>
  <c r="P52" i="9"/>
  <c r="Q52" i="9"/>
  <c r="J54" i="9"/>
  <c r="K54" i="9"/>
  <c r="L54" i="9"/>
  <c r="M54" i="9"/>
  <c r="N54" i="9"/>
  <c r="O54" i="9"/>
  <c r="P54" i="9"/>
  <c r="Q54" i="9"/>
  <c r="J56" i="9"/>
  <c r="K56" i="9"/>
  <c r="L56" i="9"/>
  <c r="M56" i="9"/>
  <c r="N56" i="9"/>
  <c r="O56" i="9"/>
  <c r="P56" i="9"/>
  <c r="Q56" i="9"/>
  <c r="J6" i="10"/>
  <c r="K6" i="10"/>
  <c r="L6" i="10"/>
  <c r="M6" i="10"/>
  <c r="N6" i="10"/>
  <c r="O6" i="10"/>
  <c r="P6" i="10"/>
  <c r="Q6" i="10"/>
  <c r="J23" i="10"/>
  <c r="K23" i="10"/>
  <c r="L23" i="10"/>
  <c r="M23" i="10"/>
  <c r="N23" i="10"/>
  <c r="O23" i="10"/>
  <c r="P23" i="10"/>
  <c r="Q23" i="10"/>
  <c r="J37" i="10"/>
  <c r="K37" i="10"/>
  <c r="L37" i="10"/>
  <c r="M37" i="10"/>
  <c r="N37" i="10"/>
  <c r="O37" i="10"/>
  <c r="P37" i="10"/>
  <c r="Q37" i="10"/>
  <c r="J38" i="10"/>
  <c r="K38" i="10"/>
  <c r="J42" i="10"/>
  <c r="K42" i="10"/>
  <c r="L42" i="10"/>
  <c r="M42" i="10"/>
  <c r="N42" i="10"/>
  <c r="O42" i="10"/>
  <c r="P42" i="10"/>
  <c r="Q42" i="10"/>
  <c r="J45" i="10"/>
  <c r="K45" i="10"/>
  <c r="L45" i="10"/>
  <c r="M45" i="10"/>
  <c r="N45" i="10"/>
  <c r="O45" i="10"/>
  <c r="P45" i="10"/>
  <c r="Q45" i="10"/>
  <c r="J53" i="10"/>
  <c r="K53" i="10"/>
  <c r="L53" i="10"/>
  <c r="M53" i="10"/>
  <c r="N53" i="10"/>
  <c r="O53" i="10"/>
  <c r="P53" i="10"/>
  <c r="Q53" i="10"/>
  <c r="K5" i="21"/>
  <c r="L5" i="21"/>
  <c r="M5" i="21"/>
  <c r="N5" i="21"/>
  <c r="O5" i="21"/>
  <c r="P5" i="21"/>
  <c r="Q5" i="21"/>
  <c r="J6" i="21"/>
  <c r="K6" i="21"/>
  <c r="L6" i="21"/>
  <c r="M6" i="21"/>
  <c r="N6" i="21"/>
  <c r="O6" i="21"/>
  <c r="P6" i="21"/>
  <c r="Q6" i="21"/>
  <c r="K8" i="21"/>
  <c r="L8" i="21"/>
  <c r="M8" i="21"/>
  <c r="N8" i="21"/>
  <c r="O8" i="21"/>
  <c r="P8" i="21"/>
  <c r="Q8" i="21"/>
  <c r="J10" i="21"/>
  <c r="K10" i="21"/>
  <c r="L10" i="21"/>
  <c r="M10" i="21"/>
  <c r="N10" i="21"/>
  <c r="O10" i="21"/>
  <c r="P10" i="21"/>
  <c r="Q10" i="21"/>
  <c r="J12" i="21"/>
  <c r="K12" i="21"/>
  <c r="L12" i="21"/>
  <c r="M12" i="21"/>
  <c r="N12" i="21"/>
  <c r="O12" i="21"/>
  <c r="P12" i="21"/>
  <c r="Q12" i="21"/>
  <c r="J17" i="21"/>
  <c r="J18" i="21"/>
  <c r="J20" i="21"/>
  <c r="J24" i="21"/>
  <c r="K24" i="21"/>
  <c r="L24" i="21"/>
  <c r="M24" i="21"/>
  <c r="N24" i="21"/>
  <c r="O24" i="21"/>
  <c r="P24" i="21"/>
  <c r="Q24" i="21"/>
  <c r="K27" i="21"/>
  <c r="L27" i="21"/>
  <c r="M27" i="21"/>
  <c r="N27" i="21"/>
  <c r="O27" i="21"/>
  <c r="P27" i="21"/>
  <c r="Q27" i="21"/>
  <c r="K28" i="21"/>
  <c r="L28" i="21"/>
  <c r="M28" i="21"/>
  <c r="N28" i="21"/>
  <c r="O28" i="21"/>
  <c r="P28" i="21"/>
  <c r="Q28" i="21"/>
  <c r="J29" i="21"/>
  <c r="K29" i="21"/>
  <c r="L29" i="21"/>
  <c r="M29" i="21"/>
  <c r="N29" i="21"/>
  <c r="O29" i="21"/>
  <c r="P29" i="21"/>
  <c r="Q29" i="21"/>
  <c r="J30" i="21"/>
  <c r="K30" i="21"/>
  <c r="L30" i="21"/>
  <c r="M30" i="21"/>
  <c r="N30" i="21"/>
  <c r="O30" i="21"/>
  <c r="P30" i="21"/>
  <c r="Q30" i="21"/>
  <c r="J32" i="21"/>
  <c r="K32" i="21"/>
  <c r="L32" i="21"/>
  <c r="M32" i="21"/>
  <c r="N32" i="21"/>
  <c r="O32" i="21"/>
  <c r="P32" i="21"/>
  <c r="Q32" i="21"/>
  <c r="J34" i="21"/>
  <c r="K34" i="21"/>
  <c r="L34" i="21"/>
  <c r="M34" i="21"/>
  <c r="N34" i="21"/>
  <c r="O34" i="21"/>
  <c r="P34" i="21"/>
  <c r="Q34" i="21"/>
  <c r="K37" i="21"/>
  <c r="L37" i="21"/>
  <c r="M37" i="21"/>
  <c r="N37" i="21"/>
  <c r="O37" i="21"/>
  <c r="P37" i="21"/>
  <c r="Q37" i="21"/>
  <c r="K38" i="21"/>
  <c r="L38" i="21"/>
  <c r="M38" i="21"/>
  <c r="N38" i="21"/>
  <c r="O38" i="21"/>
  <c r="P38" i="21"/>
  <c r="Q38" i="21"/>
  <c r="J39" i="21"/>
  <c r="K39" i="21"/>
  <c r="L39" i="21"/>
  <c r="M39" i="21"/>
  <c r="N39" i="21"/>
  <c r="O39" i="21"/>
  <c r="P39" i="21"/>
  <c r="Q39" i="21"/>
  <c r="J40" i="21"/>
  <c r="K40" i="21"/>
  <c r="L40" i="21"/>
  <c r="M40" i="21"/>
  <c r="N40" i="21"/>
  <c r="O40" i="21"/>
  <c r="P40" i="21"/>
  <c r="Q40" i="21"/>
  <c r="J42" i="21"/>
  <c r="K42" i="21"/>
  <c r="L42" i="21"/>
  <c r="M42" i="21"/>
  <c r="N42" i="21"/>
  <c r="O42" i="21"/>
  <c r="P42" i="21"/>
  <c r="Q42" i="21"/>
  <c r="J44" i="21"/>
  <c r="K44" i="21"/>
  <c r="L44" i="21"/>
  <c r="M44" i="21"/>
  <c r="N44" i="21"/>
  <c r="O44" i="21"/>
  <c r="P44" i="21"/>
  <c r="Q44" i="21"/>
  <c r="K47" i="21"/>
  <c r="L47" i="21"/>
  <c r="M47" i="21"/>
  <c r="N47" i="21"/>
  <c r="O47" i="21"/>
  <c r="P47" i="21"/>
  <c r="Q47" i="21"/>
  <c r="K48" i="21"/>
  <c r="L48" i="21"/>
  <c r="M48" i="21"/>
  <c r="N48" i="21"/>
  <c r="O48" i="21"/>
  <c r="P48" i="21"/>
  <c r="Q48" i="21"/>
  <c r="J49" i="21"/>
  <c r="K49" i="21"/>
  <c r="L49" i="21"/>
  <c r="M49" i="21"/>
  <c r="N49" i="21"/>
  <c r="O49" i="21"/>
  <c r="P49" i="21"/>
  <c r="Q49" i="21"/>
  <c r="J50" i="21"/>
  <c r="K50" i="21"/>
  <c r="L50" i="21"/>
  <c r="M50" i="21"/>
  <c r="N50" i="21"/>
  <c r="O50" i="21"/>
  <c r="P50" i="21"/>
  <c r="Q50" i="21"/>
  <c r="J52" i="21"/>
  <c r="K52" i="21"/>
  <c r="L52" i="21"/>
  <c r="M52" i="21"/>
  <c r="N52" i="21"/>
  <c r="O52" i="21"/>
  <c r="P52" i="21"/>
  <c r="Q52" i="21"/>
  <c r="J54" i="21"/>
  <c r="K54" i="21"/>
  <c r="L54" i="21"/>
  <c r="M54" i="21"/>
  <c r="N54" i="21"/>
  <c r="O54" i="21"/>
  <c r="P54" i="21"/>
  <c r="Q54" i="21"/>
  <c r="J21" i="1"/>
  <c r="K21" i="1"/>
  <c r="L21" i="1"/>
  <c r="M21" i="1"/>
  <c r="N21" i="1"/>
  <c r="O21" i="1"/>
  <c r="P21" i="1"/>
  <c r="Q21" i="1"/>
  <c r="J23" i="1"/>
  <c r="K23" i="1"/>
  <c r="L23" i="1"/>
  <c r="M23" i="1"/>
  <c r="N23" i="1"/>
  <c r="O23" i="1"/>
  <c r="P23" i="1"/>
  <c r="Q23" i="1"/>
  <c r="J26" i="1"/>
  <c r="K26" i="1"/>
  <c r="L26" i="1"/>
  <c r="M26" i="1"/>
  <c r="N26" i="1"/>
  <c r="O26" i="1"/>
  <c r="P26" i="1"/>
  <c r="Q26" i="1"/>
  <c r="J34" i="1"/>
  <c r="K34" i="1"/>
  <c r="L34" i="1"/>
  <c r="M34" i="1"/>
  <c r="N34" i="1"/>
  <c r="O34" i="1"/>
  <c r="P34" i="1"/>
  <c r="Q34" i="1"/>
  <c r="J36" i="1"/>
  <c r="K36" i="1"/>
  <c r="L36" i="1"/>
  <c r="M36" i="1"/>
  <c r="N36" i="1"/>
  <c r="O36" i="1"/>
  <c r="P36" i="1"/>
  <c r="Q36" i="1"/>
  <c r="J38" i="1"/>
  <c r="K38" i="1"/>
  <c r="L38" i="1"/>
  <c r="M38" i="1"/>
  <c r="N38" i="1"/>
  <c r="O38" i="1"/>
  <c r="P38" i="1"/>
  <c r="Q38" i="1"/>
  <c r="J40" i="1"/>
  <c r="K40" i="1"/>
  <c r="L40" i="1"/>
  <c r="M40" i="1"/>
  <c r="N40" i="1"/>
  <c r="O40" i="1"/>
  <c r="P40" i="1"/>
  <c r="Q40" i="1"/>
  <c r="J41" i="1"/>
  <c r="K41" i="1"/>
  <c r="L41" i="1"/>
  <c r="M41" i="1"/>
  <c r="N41" i="1"/>
  <c r="O41" i="1"/>
  <c r="P41" i="1"/>
  <c r="Q4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Jack Cashin</author>
    <author>Aaron Ernest</author>
  </authors>
  <commentList>
    <comment ref="J30" authorId="0" shapeId="0" xr:uid="{170D51CD-E53D-4020-A05C-088263F3115A}">
      <text>
        <r>
          <rPr>
            <b/>
            <sz val="9"/>
            <color indexed="81"/>
            <rFont val="Tahoma"/>
            <family val="2"/>
          </rPr>
          <t>Jack Cashin:</t>
        </r>
        <r>
          <rPr>
            <sz val="9"/>
            <color indexed="81"/>
            <rFont val="Tahoma"/>
            <family val="2"/>
          </rPr>
          <t xml:space="preserve">
Sold Gabon for $300M 
Sold Kenya for $80M
Net Book Asset Value $340  
Gain: $380M - $340M = 40M 
</t>
        </r>
      </text>
    </comment>
    <comment ref="J33" authorId="1" shapeId="0" xr:uid="{AD3A480A-4910-4F6C-A53C-C30EB2FE6300}">
      <text>
        <r>
          <rPr>
            <b/>
            <sz val="9"/>
            <color indexed="81"/>
            <rFont val="Tahoma"/>
            <family val="2"/>
          </rPr>
          <t>Aaron Ernest:</t>
        </r>
        <r>
          <rPr>
            <sz val="9"/>
            <color indexed="81"/>
            <rFont val="Tahoma"/>
            <family val="2"/>
          </rPr>
          <t xml:space="preserve">
LTM unusual item.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Jack Cashin</author>
  </authors>
  <commentList>
    <comment ref="J29" authorId="0" shapeId="0" xr:uid="{F6DE560A-4BD7-49EE-88B7-E7DDAE91E782}">
      <text>
        <r>
          <rPr>
            <b/>
            <sz val="9"/>
            <color indexed="81"/>
            <rFont val="Tahoma"/>
            <family val="2"/>
          </rPr>
          <t>Jack Cashin:</t>
        </r>
        <r>
          <rPr>
            <sz val="9"/>
            <color indexed="81"/>
            <rFont val="Tahoma"/>
            <family val="2"/>
          </rPr>
          <t xml:space="preserve">
Gabon &amp; Kenya sales proceeds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Jack Cashin</author>
  </authors>
  <commentList>
    <comment ref="J20" authorId="0" shapeId="0" xr:uid="{7C627E0F-2C4D-4477-A39C-D0CE41CAA571}">
      <text>
        <r>
          <rPr>
            <b/>
            <sz val="9"/>
            <color indexed="81"/>
            <rFont val="Tahoma"/>
            <family val="2"/>
          </rPr>
          <t>Jack Cashin:</t>
        </r>
        <r>
          <rPr>
            <sz val="9"/>
            <color indexed="81"/>
            <rFont val="Tahoma"/>
            <family val="2"/>
          </rPr>
          <t xml:space="preserve">
Basic projection for now
</t>
        </r>
      </text>
    </comment>
    <comment ref="J22" authorId="0" shapeId="0" xr:uid="{2053DFF3-4311-49B8-A830-DCFC5ADA7F6A}">
      <text>
        <r>
          <rPr>
            <b/>
            <sz val="9"/>
            <color indexed="81"/>
            <rFont val="Tahoma"/>
            <family val="2"/>
          </rPr>
          <t>Jack Cashin:</t>
        </r>
        <r>
          <rPr>
            <sz val="9"/>
            <color indexed="81"/>
            <rFont val="Tahoma"/>
            <family val="2"/>
          </rPr>
          <t xml:space="preserve">
Basic projection for now
</t>
        </r>
      </text>
    </comment>
    <comment ref="J24" authorId="0" shapeId="0" xr:uid="{ADA4FB70-B025-46AA-94EA-858E1285B103}">
      <text>
        <r>
          <rPr>
            <b/>
            <sz val="9"/>
            <color indexed="81"/>
            <rFont val="Tahoma"/>
            <family val="2"/>
          </rPr>
          <t>Jack Cashin:</t>
        </r>
        <r>
          <rPr>
            <sz val="9"/>
            <color indexed="81"/>
            <rFont val="Tahoma"/>
            <family val="2"/>
          </rPr>
          <t xml:space="preserve">
Basic projection for now
</t>
        </r>
      </text>
    </comment>
    <comment ref="J27" authorId="0" shapeId="0" xr:uid="{B0929220-28F2-47BF-A6D4-84799F336717}">
      <text>
        <r>
          <rPr>
            <b/>
            <sz val="9"/>
            <color indexed="81"/>
            <rFont val="Tahoma"/>
            <family val="2"/>
          </rPr>
          <t>Jack Cashin:</t>
        </r>
        <r>
          <rPr>
            <sz val="9"/>
            <color indexed="81"/>
            <rFont val="Tahoma"/>
            <family val="2"/>
          </rPr>
          <t xml:space="preserve">
Basic projection for now
</t>
        </r>
      </text>
    </comment>
    <comment ref="J30" authorId="0" shapeId="0" xr:uid="{4F000F11-11A1-4D29-BC5A-F987E326A7B6}">
      <text>
        <r>
          <rPr>
            <b/>
            <sz val="9"/>
            <color indexed="81"/>
            <rFont val="Tahoma"/>
            <family val="2"/>
          </rPr>
          <t>Jack Cashin:</t>
        </r>
        <r>
          <rPr>
            <sz val="9"/>
            <color indexed="81"/>
            <rFont val="Tahoma"/>
            <family val="2"/>
          </rPr>
          <t xml:space="preserve">
Basic projection for now
</t>
        </r>
      </text>
    </comment>
    <comment ref="J32" authorId="0" shapeId="0" xr:uid="{33AD19D5-C33E-448B-A3EE-17F8A2BFDDA6}">
      <text>
        <r>
          <rPr>
            <b/>
            <sz val="9"/>
            <color indexed="81"/>
            <rFont val="Tahoma"/>
            <family val="2"/>
          </rPr>
          <t>Jack Cashin:</t>
        </r>
        <r>
          <rPr>
            <sz val="9"/>
            <color indexed="81"/>
            <rFont val="Tahoma"/>
            <family val="2"/>
          </rPr>
          <t xml:space="preserve">
Basic projection for now
</t>
        </r>
      </text>
    </comment>
    <comment ref="J35" authorId="0" shapeId="0" xr:uid="{C8132E09-995C-40A8-8FDE-AEF349D26477}">
      <text>
        <r>
          <rPr>
            <b/>
            <sz val="9"/>
            <color indexed="81"/>
            <rFont val="Tahoma"/>
            <family val="2"/>
          </rPr>
          <t>Jack Cashin:</t>
        </r>
        <r>
          <rPr>
            <sz val="9"/>
            <color indexed="81"/>
            <rFont val="Tahoma"/>
            <family val="2"/>
          </rPr>
          <t xml:space="preserve">
Basic projection for now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Jack Cashin</author>
    <author>Aaron Ernest</author>
  </authors>
  <commentList>
    <comment ref="J16" authorId="0" shapeId="0" xr:uid="{F5B1BAB4-6DA2-4709-81FA-6917BC1B835E}">
      <text>
        <r>
          <rPr>
            <b/>
            <sz val="9"/>
            <color indexed="81"/>
            <rFont val="Tahoma"/>
            <family val="2"/>
          </rPr>
          <t>Jack Cashin:</t>
        </r>
        <r>
          <rPr>
            <sz val="9"/>
            <color indexed="81"/>
            <rFont val="Tahoma"/>
            <family val="2"/>
          </rPr>
          <t xml:space="preserve">
Management indicated Proceeds from asset sale 2025 First Half Results will to go pay down debt and cancel the revolver agreement</t>
        </r>
      </text>
    </comment>
    <comment ref="J17" authorId="1" shapeId="0" xr:uid="{BBE89790-DB52-42B6-9966-0E02E32C8DDC}">
      <text>
        <r>
          <rPr>
            <b/>
            <sz val="9"/>
            <color indexed="81"/>
            <rFont val="Tahoma"/>
            <family val="2"/>
          </rPr>
          <t>Aaron Ernest:</t>
        </r>
        <r>
          <rPr>
            <sz val="9"/>
            <color indexed="81"/>
            <rFont val="Tahoma"/>
            <family val="2"/>
          </rPr>
          <t xml:space="preserve">
Given that the revolver is canceled, company needs to refinance debt for it to turn around with an alternative solution.</t>
        </r>
      </text>
    </comment>
    <comment ref="J38" authorId="0" shapeId="0" xr:uid="{91A9A5BA-585A-41A4-8299-C3E4A346C197}">
      <text>
        <r>
          <rPr>
            <b/>
            <sz val="9"/>
            <color indexed="81"/>
            <rFont val="Tahoma"/>
            <family val="2"/>
          </rPr>
          <t>Jack Cashin:</t>
        </r>
        <r>
          <rPr>
            <sz val="9"/>
            <color indexed="81"/>
            <rFont val="Tahoma"/>
            <family val="2"/>
          </rPr>
          <t xml:space="preserve">
Management indicated Proceeds from asset sale 2025 First Half Results will to go pay down debt</t>
        </r>
      </text>
    </comment>
    <comment ref="I61" authorId="1" shapeId="0" xr:uid="{9AE4A28E-4A6C-4CB8-A78D-112FD7B43CAF}">
      <text>
        <r>
          <rPr>
            <b/>
            <sz val="9"/>
            <color indexed="81"/>
            <rFont val="Tahoma"/>
            <family val="2"/>
          </rPr>
          <t>Aaron Ernest:</t>
        </r>
        <r>
          <rPr>
            <sz val="9"/>
            <color indexed="81"/>
            <rFont val="Tahoma"/>
            <family val="2"/>
          </rPr>
          <t xml:space="preserve">
Lease Liability expense per 2024 full year results (pg. 31)
https://www.tullowoil.com/application/files/4417/4288/4975/Tullow_Oil_Plc_-_2024_FY_Report_-_FINAL.pdf</t>
        </r>
      </text>
    </comment>
    <comment ref="I62" authorId="1" shapeId="0" xr:uid="{6C84D312-045B-4A20-AD6C-06AE22C72901}">
      <text>
        <r>
          <rPr>
            <b/>
            <sz val="9"/>
            <color indexed="81"/>
            <rFont val="Tahoma"/>
            <family val="2"/>
          </rPr>
          <t>Aaron Ernest:</t>
        </r>
        <r>
          <rPr>
            <sz val="9"/>
            <color indexed="81"/>
            <rFont val="Tahoma"/>
            <family val="2"/>
          </rPr>
          <t xml:space="preserve">
Depreciation of lease assets is $91.4M in 2024. 
https://www.tullowoil.com/application/files/4417/4288/4975/Tullow_Oil_Plc_-_2024_FY_Report_-_FINAL.pdf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Jack Cashin</author>
  </authors>
  <commentList>
    <comment ref="J8" authorId="0" shapeId="0" xr:uid="{E4E9F601-9D35-42E9-8374-C17DC9D8AECB}">
      <text>
        <r>
          <rPr>
            <b/>
            <sz val="9"/>
            <color indexed="81"/>
            <rFont val="Tahoma"/>
            <family val="2"/>
          </rPr>
          <t xml:space="preserve">Jack Cashin:
</t>
        </r>
        <r>
          <rPr>
            <sz val="9"/>
            <color indexed="81"/>
            <rFont val="Tahoma"/>
            <family val="2"/>
          </rPr>
          <t xml:space="preserve">Typical industry amort amount 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Aaron Ernest</author>
  </authors>
  <commentList>
    <comment ref="K25" authorId="0" shapeId="0" xr:uid="{50591ABE-44F2-4C0F-95E4-853F7AAD7C14}">
      <text>
        <r>
          <rPr>
            <b/>
            <sz val="9"/>
            <color indexed="81"/>
            <rFont val="Tahoma"/>
            <family val="2"/>
          </rPr>
          <t>Aaron Ernest:</t>
        </r>
        <r>
          <rPr>
            <sz val="9"/>
            <color indexed="81"/>
            <rFont val="Tahoma"/>
            <family val="2"/>
          </rPr>
          <t xml:space="preserve">
As of 06/11/2025, per FRED market data.
https://fred.stlouisfed.org/series/DGS10</t>
        </r>
      </text>
    </comment>
    <comment ref="K35" authorId="0" shapeId="0" xr:uid="{AAD123BC-F097-4A51-92D7-A94490DDF749}">
      <text>
        <r>
          <rPr>
            <b/>
            <sz val="9"/>
            <color indexed="81"/>
            <rFont val="Tahoma"/>
            <family val="2"/>
          </rPr>
          <t xml:space="preserve">Aaron Ernest:
</t>
        </r>
        <r>
          <rPr>
            <sz val="9"/>
            <color indexed="81"/>
            <rFont val="Tahoma"/>
            <family val="2"/>
          </rPr>
          <t>Targeted capital structure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<sst xmlns="http://schemas.openxmlformats.org/spreadsheetml/2006/main" count="925" uniqueCount="604">
  <si>
    <t>Net Income</t>
  </si>
  <si>
    <t>Depreciation &amp; Amort.</t>
  </si>
  <si>
    <t>Amort. of Goodwill and Intangibles</t>
  </si>
  <si>
    <t>Impair. of Oil, Gas &amp; Mineral Prop.</t>
  </si>
  <si>
    <t>Depreciation &amp; Amort., Total</t>
  </si>
  <si>
    <t>(Gain) Loss From Sale Of Assets</t>
  </si>
  <si>
    <t>Stock-Based Compensation</t>
  </si>
  <si>
    <t>Net Cash From Discontinued Ops.</t>
  </si>
  <si>
    <t>Other Operating Activities</t>
  </si>
  <si>
    <t>Change in Acc. Receivable</t>
  </si>
  <si>
    <t>Change In Inventories</t>
  </si>
  <si>
    <t>Change in Acc. Payable</t>
  </si>
  <si>
    <t>Change in Other Net Operating Assets</t>
  </si>
  <si>
    <t>Capital Expenditure</t>
  </si>
  <si>
    <t>Sale of Property, Plant, and Equipment</t>
  </si>
  <si>
    <t>Cash Acquisitions</t>
  </si>
  <si>
    <t>Divestitures</t>
  </si>
  <si>
    <t>Sale (Purchase) of Intangible assets</t>
  </si>
  <si>
    <t>Invest. in Marketable &amp; Equity Securt.</t>
  </si>
  <si>
    <t>Net (Inc.) Dec. in Loans Originated/Sold</t>
  </si>
  <si>
    <t>Other Investing Activities</t>
  </si>
  <si>
    <t>Common Dividends Paid</t>
  </si>
  <si>
    <t>Special Dividend Paid</t>
  </si>
  <si>
    <t>Other Financing Activities</t>
  </si>
  <si>
    <t>Foreign Exchange Rate Adj.</t>
  </si>
  <si>
    <t>Cash Interest Paid</t>
  </si>
  <si>
    <t>Cash Taxes Paid</t>
  </si>
  <si>
    <t>Levered Free Cash Flow</t>
  </si>
  <si>
    <t>Unlevered Free Cash Flow</t>
  </si>
  <si>
    <t>Change in Net Working Capital</t>
  </si>
  <si>
    <t>Net Debt Issued</t>
  </si>
  <si>
    <t>Filing Date</t>
  </si>
  <si>
    <t>Restatement Type</t>
  </si>
  <si>
    <t>O</t>
  </si>
  <si>
    <t>NC</t>
  </si>
  <si>
    <t>Calculation Type</t>
  </si>
  <si>
    <t>REP</t>
  </si>
  <si>
    <t>Balance Sheet</t>
  </si>
  <si>
    <t>Cash And Equivalents</t>
  </si>
  <si>
    <t>Accounts Receivable</t>
  </si>
  <si>
    <t>Other Receivables</t>
  </si>
  <si>
    <t>Inventory</t>
  </si>
  <si>
    <t>Prepaid Exp.</t>
  </si>
  <si>
    <t>Other Current Assets</t>
  </si>
  <si>
    <t>Gross Property, Plant &amp; Equipment</t>
  </si>
  <si>
    <t>Accumulated Depreciation</t>
  </si>
  <si>
    <t>Goodwill</t>
  </si>
  <si>
    <t>Other Intangibles</t>
  </si>
  <si>
    <t>Deferred Tax Assets, LT</t>
  </si>
  <si>
    <t>Other Long-Term Assets</t>
  </si>
  <si>
    <t>Total Assets</t>
  </si>
  <si>
    <t>Accounts Payable</t>
  </si>
  <si>
    <t>Accrued Exp.</t>
  </si>
  <si>
    <t>Short-term Borrowings</t>
  </si>
  <si>
    <t>Curr. Port. of LT Debt</t>
  </si>
  <si>
    <t>Curr. Port. of Leases</t>
  </si>
  <si>
    <t>Curr. Income Taxes Payable</t>
  </si>
  <si>
    <t>Other Current Liabilities</t>
  </si>
  <si>
    <t>Long-Term Debt</t>
  </si>
  <si>
    <t>Long-Term Leases</t>
  </si>
  <si>
    <t>Def. Tax Liability, Non-Curr.</t>
  </si>
  <si>
    <t>Other Non-Current Liabilities</t>
  </si>
  <si>
    <t>Total Liabilities</t>
  </si>
  <si>
    <t>Common Stock</t>
  </si>
  <si>
    <t>Additional Paid In Capital</t>
  </si>
  <si>
    <t>Retained Earnings</t>
  </si>
  <si>
    <t>Treasury Stock</t>
  </si>
  <si>
    <t>Comprehensive Inc. and Other</t>
  </si>
  <si>
    <t>Total Equity</t>
  </si>
  <si>
    <t>Total Liabilities And Equity</t>
  </si>
  <si>
    <t>Revenue</t>
  </si>
  <si>
    <t>Cost Of Goods Sold</t>
  </si>
  <si>
    <t>Selling General &amp; Admin Exp.</t>
  </si>
  <si>
    <t>Provision for Bad Debts</t>
  </si>
  <si>
    <t>Other Operating Expense/(Income)</t>
  </si>
  <si>
    <t>Interest Expense</t>
  </si>
  <si>
    <t>Interest and Invest. Income</t>
  </si>
  <si>
    <t>Other Non-Operating Inc. (Exp.)</t>
  </si>
  <si>
    <t>Restructuring Charges</t>
  </si>
  <si>
    <t>Impairment of Goodwill</t>
  </si>
  <si>
    <t>Gain (Loss) On Sale Of Assets</t>
  </si>
  <si>
    <t>Insurance Settlements</t>
  </si>
  <si>
    <t>Other Unusual Items</t>
  </si>
  <si>
    <t>Income Tax Expense</t>
  </si>
  <si>
    <t>Earnings of Discontinued Ops.</t>
  </si>
  <si>
    <t>NM</t>
  </si>
  <si>
    <t>EBITDA</t>
  </si>
  <si>
    <t>EBIT</t>
  </si>
  <si>
    <t xml:space="preserve">YOY Growth </t>
  </si>
  <si>
    <t>EBIT Margin</t>
  </si>
  <si>
    <t xml:space="preserve">Gross Margin </t>
  </si>
  <si>
    <t>Gross Profit</t>
  </si>
  <si>
    <t>Net Interest Exp.</t>
  </si>
  <si>
    <t>EBT Excl. Unusual Items</t>
  </si>
  <si>
    <t>EBT Incl. Unusual Items</t>
  </si>
  <si>
    <t>Earnings from Cont. Ops.</t>
  </si>
  <si>
    <t xml:space="preserve">  Other Operating Expenses</t>
  </si>
  <si>
    <t>Net Income Margin</t>
  </si>
  <si>
    <t>Operating Income</t>
  </si>
  <si>
    <t>Operating Margin</t>
  </si>
  <si>
    <t>Cap IQ Net Income</t>
  </si>
  <si>
    <t xml:space="preserve">Check </t>
  </si>
  <si>
    <t>Check</t>
  </si>
  <si>
    <t>Amortization of Intangibles</t>
  </si>
  <si>
    <t xml:space="preserve">Depreciation Adjustment </t>
  </si>
  <si>
    <t>Impairment of Oil, Gas &amp; Mineral Properties</t>
  </si>
  <si>
    <t>Exploration Costs Write-Off</t>
  </si>
  <si>
    <t>Income Statement</t>
  </si>
  <si>
    <t>Tullow Oil Income Statement</t>
  </si>
  <si>
    <t>Tullow Oil Balance Sheet</t>
  </si>
  <si>
    <t>Assets:</t>
  </si>
  <si>
    <t>Total Cash &amp; ST Investments</t>
  </si>
  <si>
    <t>Total Receivables</t>
  </si>
  <si>
    <t>Total Current Assets</t>
  </si>
  <si>
    <t>Net Property, Plant &amp; Equipment</t>
  </si>
  <si>
    <t>Liabilities:</t>
  </si>
  <si>
    <t>Total Current Liabilities</t>
  </si>
  <si>
    <t>Total Common Equity</t>
  </si>
  <si>
    <t xml:space="preserve">Balance Sheet Check </t>
  </si>
  <si>
    <t xml:space="preserve">Capital IQ Balance Sheet </t>
  </si>
  <si>
    <t xml:space="preserve">Capital IQ Check </t>
  </si>
  <si>
    <t>Equity:</t>
  </si>
  <si>
    <t>Cash Flow Statement</t>
  </si>
  <si>
    <t>Tullow Oil Cash Flow Statement</t>
  </si>
  <si>
    <t>Change in Cash: Operations</t>
  </si>
  <si>
    <t>Cash from Ops.</t>
  </si>
  <si>
    <t>Cash from Investing</t>
  </si>
  <si>
    <t>Cash from Financing</t>
  </si>
  <si>
    <t>Net Change in Cash</t>
  </si>
  <si>
    <t>Change in Cash: Investing</t>
  </si>
  <si>
    <t>Change in Cash: Financing</t>
  </si>
  <si>
    <t xml:space="preserve">Capital IQ Change in Cash </t>
  </si>
  <si>
    <t>Net Working Capital</t>
  </si>
  <si>
    <t>Net Working Capital:</t>
  </si>
  <si>
    <t>Tullow Oil Net Working Capital</t>
  </si>
  <si>
    <t>Total NWC</t>
  </si>
  <si>
    <t>NWC (% of Sales)</t>
  </si>
  <si>
    <t xml:space="preserve">NWC Change </t>
  </si>
  <si>
    <t>Asset Write-down</t>
  </si>
  <si>
    <t>Sales (TTM)</t>
  </si>
  <si>
    <t>Multiples</t>
  </si>
  <si>
    <t>EBITDA (TTM)</t>
  </si>
  <si>
    <t>Company Name</t>
  </si>
  <si>
    <t>P/Sales</t>
  </si>
  <si>
    <t>EV/EBITDA</t>
  </si>
  <si>
    <t>EV/Sales</t>
  </si>
  <si>
    <t>Net income (TTM)</t>
  </si>
  <si>
    <t>Total debt</t>
  </si>
  <si>
    <t>Cash</t>
  </si>
  <si>
    <t>Shares outstanding (in mil.)</t>
  </si>
  <si>
    <t>Statistic</t>
  </si>
  <si>
    <t xml:space="preserve">25th </t>
  </si>
  <si>
    <t>Median</t>
  </si>
  <si>
    <t>Minimum</t>
  </si>
  <si>
    <t xml:space="preserve">75th </t>
  </si>
  <si>
    <t>25th percentile</t>
  </si>
  <si>
    <t>Mean</t>
  </si>
  <si>
    <t>75th percentile</t>
  </si>
  <si>
    <t>Maximum</t>
  </si>
  <si>
    <t>Tullow Oil | Information</t>
  </si>
  <si>
    <t>Tullow Oil | Trading Multiples Valuation</t>
  </si>
  <si>
    <t>Tullow Oil | Implied Equity Prices</t>
  </si>
  <si>
    <t>Tullow Oil</t>
  </si>
  <si>
    <t>Equity Beta</t>
  </si>
  <si>
    <t>D/E</t>
  </si>
  <si>
    <t>Nostrum Oil &amp; Gas PLC (LSE:NOG)</t>
  </si>
  <si>
    <t>Savannah Energy PLC (AIM:SAVE)</t>
  </si>
  <si>
    <t>BlueNord ASA (OB:BNOR)</t>
  </si>
  <si>
    <t>DNO ASA (OB:DNO)</t>
  </si>
  <si>
    <t>OKEA ASA (OB:OKEA)</t>
  </si>
  <si>
    <t xml:space="preserve">Price </t>
  </si>
  <si>
    <t>Lev. Ratio</t>
  </si>
  <si>
    <t>Energean PLC (LSE:ENOG)</t>
  </si>
  <si>
    <t>Sales (LTM)</t>
  </si>
  <si>
    <t>Date</t>
  </si>
  <si>
    <t>Target</t>
  </si>
  <si>
    <t>Acquirer</t>
  </si>
  <si>
    <t>Transaction Value ($ in millions)</t>
  </si>
  <si>
    <t>EBITDA (LTM)</t>
  </si>
  <si>
    <t>NA</t>
  </si>
  <si>
    <t>Ithaca Energy (UK) Limited</t>
  </si>
  <si>
    <t>Tullow Oil | Precedent Transaction Valuation</t>
  </si>
  <si>
    <t>Harbour Energy plc (LSE:HBR)</t>
  </si>
  <si>
    <t>Siccar Point Energy Limited</t>
  </si>
  <si>
    <t>Suncor Energy UK Limited</t>
  </si>
  <si>
    <t>Equinor UK Limited</t>
  </si>
  <si>
    <t>KUFPEC Norway AS</t>
  </si>
  <si>
    <t>ORLEN Upstream Norway AS</t>
  </si>
  <si>
    <t>Prax Global Finance I PLC</t>
  </si>
  <si>
    <t>Lease Operators Limited</t>
  </si>
  <si>
    <t>Petrichor Partners LP</t>
  </si>
  <si>
    <t>Roc Oil Company Pty Limited (:ROC)</t>
  </si>
  <si>
    <t>Gran Tierra UK Limited</t>
  </si>
  <si>
    <t>Gran Tierra Energy Inc. (NYSEAM:GTE)</t>
  </si>
  <si>
    <t>Premier Oil plc (LSE:PMO)</t>
  </si>
  <si>
    <t>Hurricane Energy plc (AIM:HUR)</t>
  </si>
  <si>
    <t>Egdon Resources plc (AIM:EDR)</t>
  </si>
  <si>
    <t>Serinus Energy plc</t>
  </si>
  <si>
    <t>Xtellus Capital Partners, Inc.</t>
  </si>
  <si>
    <t>Wentworth Resources plc</t>
  </si>
  <si>
    <t>Etablissements Maurel &amp; Prom S.A. (ENXTPA:MAU)</t>
  </si>
  <si>
    <t>Tethys Oil AB (STO:TETY)</t>
  </si>
  <si>
    <t>(% of Revenue)</t>
  </si>
  <si>
    <t xml:space="preserve">Account   </t>
  </si>
  <si>
    <t>Beginning cash</t>
  </si>
  <si>
    <t>CARD for revolver</t>
  </si>
  <si>
    <t>Revolver</t>
  </si>
  <si>
    <t>Beginning balance</t>
  </si>
  <si>
    <t>Mandatory repayments</t>
  </si>
  <si>
    <t>Optional draw (repayment)</t>
  </si>
  <si>
    <t>Ending balance</t>
  </si>
  <si>
    <t>Cash interest rate</t>
  </si>
  <si>
    <t>Cash interest paid</t>
  </si>
  <si>
    <t>Total Revenue</t>
  </si>
  <si>
    <t>Value</t>
  </si>
  <si>
    <t>Rationale</t>
  </si>
  <si>
    <t>Source</t>
  </si>
  <si>
    <t>Revenue Build</t>
  </si>
  <si>
    <t>Oil Barrel</t>
  </si>
  <si>
    <t>Gas Barrel</t>
  </si>
  <si>
    <t>Total Barrels</t>
  </si>
  <si>
    <t>Realized Oil Price</t>
  </si>
  <si>
    <t>Realized Gas Price</t>
  </si>
  <si>
    <t>Trinity Exploration plc (AIM:TRIN)</t>
  </si>
  <si>
    <t>Markets Revenue by Segment Yearly</t>
  </si>
  <si>
    <t>Markets Revenue by Segment Daily</t>
  </si>
  <si>
    <t>Production is assumed to be 40,000 to 45,000 barrels of oil per day adjusted for the Gabon asset removal.</t>
  </si>
  <si>
    <t>EIA</t>
  </si>
  <si>
    <t>Goldman Sachs</t>
  </si>
  <si>
    <t>Fitch Ratings</t>
  </si>
  <si>
    <t>Morgan Stanley</t>
  </si>
  <si>
    <t>N/A</t>
  </si>
  <si>
    <t>World Bank</t>
  </si>
  <si>
    <t xml:space="preserve">Average Price </t>
  </si>
  <si>
    <t>In October 2025, Goldman Sachs expected Brent prices to drift towards the low $50s by the end of 2026, driven by an expanding global surplus. The bank also provided bear-case scenarios that could see prices drop below $40 if a recession and full OPEC+ unwind occurred.</t>
  </si>
  <si>
    <t>Comments</t>
  </si>
  <si>
    <t>Oil Price:</t>
  </si>
  <si>
    <t>Gas Price:</t>
  </si>
  <si>
    <t>Year</t>
  </si>
  <si>
    <t>Increased capital spending and uplift in production driven by recommenced drilling including four additional Jubilee wells planned.</t>
  </si>
  <si>
    <t>Production begins declining modestly after 2026 activity peak, with optimization measures supporting volumes.</t>
  </si>
  <si>
    <t>Post-refinancing capital structure expected to reduce borrowing cost as deleveraging targets are approached.</t>
  </si>
  <si>
    <t>Production transitions into sustaining mode requiring lower capital expenditures as fields mature.</t>
  </si>
  <si>
    <t>Late-life field tail where decline continues and decommissioning allocations gradually increase.</t>
  </si>
  <si>
    <t>Production moderates, with assumed mid-cycle pricing recovery and improved financing terms post-refinancing period.</t>
  </si>
  <si>
    <t>The U.S. Energy Information Administration (EIA) has also weighed in with its long-term outlook. In its Annual Energy Outlook 2025, the EIA forecasts Henry Hub prices to reach $3.80/MMBtu by 2030, $4.20/MMBtu by 2040, and $4.95/MMBtu by 2050 in their reference case scenario.</t>
  </si>
  <si>
    <t>|</t>
  </si>
  <si>
    <t>Oil Price Forecast</t>
  </si>
  <si>
    <t>Gas Price Forecast</t>
  </si>
  <si>
    <t>WI Oil (boe/d)</t>
  </si>
  <si>
    <t>COGS</t>
  </si>
  <si>
    <t>Step:</t>
  </si>
  <si>
    <t>Capex</t>
  </si>
  <si>
    <t>SG&amp;A</t>
  </si>
  <si>
    <t>Total Depreciation &amp; Amort.</t>
  </si>
  <si>
    <t>Gabon Asset NBV</t>
  </si>
  <si>
    <t>Kenya Asset NBV</t>
  </si>
  <si>
    <t>Gabon Asset Sale Proceeds</t>
  </si>
  <si>
    <t>Kenya Asset Sale Proceeds</t>
  </si>
  <si>
    <t>Recognized upon completion of sale in July 2025.</t>
  </si>
  <si>
    <t>Page 26 provides the net book value of the Gabon asset.</t>
  </si>
  <si>
    <t>Page 27 provides the net book value of the Kenya asset.</t>
  </si>
  <si>
    <t>NBV Reduction</t>
  </si>
  <si>
    <t>% of Total Sale</t>
  </si>
  <si>
    <t>Proceeds and NBV Reduction Table:</t>
  </si>
  <si>
    <t>Paid out in three tranches. Tranche A ($40M) upon completion of the sale. Tranche B ($40M) in 2026. Tranche C over 5 years from 2028 to 2032 ($40M).</t>
  </si>
  <si>
    <t>Kenya Proceeds</t>
  </si>
  <si>
    <t>Gabon Proceeds</t>
  </si>
  <si>
    <t>Gabon NBV</t>
  </si>
  <si>
    <t>Total Gains</t>
  </si>
  <si>
    <t>Total Proceeds</t>
  </si>
  <si>
    <t>.</t>
  </si>
  <si>
    <t>Change In Prepaid Expenses</t>
  </si>
  <si>
    <t>Change in Accrued Expenses</t>
  </si>
  <si>
    <t xml:space="preserve"> </t>
  </si>
  <si>
    <t xml:space="preserve">    </t>
  </si>
  <si>
    <t>Tullow Oil Debt Schedule</t>
  </si>
  <si>
    <t>Debt type</t>
  </si>
  <si>
    <t>Max debt</t>
  </si>
  <si>
    <t>PIK</t>
  </si>
  <si>
    <t>Mandatory</t>
  </si>
  <si>
    <t>revolver draw</t>
  </si>
  <si>
    <t>Amount</t>
  </si>
  <si>
    <t>to EBITDA</t>
  </si>
  <si>
    <t>interest rate</t>
  </si>
  <si>
    <t>rate</t>
  </si>
  <si>
    <t>Maturity</t>
  </si>
  <si>
    <t>Amort.</t>
  </si>
  <si>
    <t>Sweep</t>
  </si>
  <si>
    <t>Senior Notes</t>
  </si>
  <si>
    <t>Secured Notes</t>
  </si>
  <si>
    <t>Adj. Effective Tax Rate</t>
  </si>
  <si>
    <t>Fwd. Adj. Effective Tax Rate</t>
  </si>
  <si>
    <t>Adjusted for non-recurring write-offs, exploration costs, and disposals. Using 2024E adj. effective tax rate.</t>
  </si>
  <si>
    <t>RCF Availability</t>
  </si>
  <si>
    <t>RCF Covenants</t>
  </si>
  <si>
    <t>Accrued expenses and prepaid expenses (% of Revenue), since SG&amp;A is a much smaller account and is a less reliable predictor.</t>
  </si>
  <si>
    <t>Tullow Oil | Forecast Assumptions (mm$)</t>
  </si>
  <si>
    <t xml:space="preserve">Other Assumptions </t>
  </si>
  <si>
    <t>Debt Schedule</t>
  </si>
  <si>
    <t>Supplemental Items:</t>
  </si>
  <si>
    <t>2026 Senior Secured Notes</t>
  </si>
  <si>
    <t>Required 2P Reserve Cov.</t>
  </si>
  <si>
    <t xml:space="preserve">Max Consolidated Lev. </t>
  </si>
  <si>
    <t>Senior Notes Covenants</t>
  </si>
  <si>
    <t>No maintenance covenants, incurrence covenants are the same as the 2026 Senior Secured Notes.</t>
  </si>
  <si>
    <t>CARD for Senior Notes</t>
  </si>
  <si>
    <t>CARD for Secured Notes</t>
  </si>
  <si>
    <t>New Revolver</t>
  </si>
  <si>
    <t>Maturity Schedule</t>
  </si>
  <si>
    <t>Tullow Oil Maturity Schedule</t>
  </si>
  <si>
    <t>Cash Available for optional Repayment of Debt (CARD)</t>
  </si>
  <si>
    <t>Total Lease Liabilities</t>
  </si>
  <si>
    <t>Total Interest Expense</t>
  </si>
  <si>
    <t>Short-Term Lease Liabilities</t>
  </si>
  <si>
    <t xml:space="preserve">Short-Term Lease Liabilities </t>
  </si>
  <si>
    <t>Lease Depreciation</t>
  </si>
  <si>
    <t>Total 2024 ROU Depreciation Expense</t>
  </si>
  <si>
    <t>SOFR forward rate</t>
  </si>
  <si>
    <t>Reset Date</t>
  </si>
  <si>
    <t>1-month Term SOFR</t>
  </si>
  <si>
    <t>3-month Term SOFR</t>
  </si>
  <si>
    <t>1-Month ISDA SOFR</t>
  </si>
  <si>
    <t>SOFR curve</t>
  </si>
  <si>
    <t xml:space="preserve">Long-Term Lease Liabilities </t>
  </si>
  <si>
    <t>Total Debt Cash Interest</t>
  </si>
  <si>
    <t>Total Lease Cash interest</t>
  </si>
  <si>
    <t>Net Debt Issued/Repaid</t>
  </si>
  <si>
    <t>SOFR Forward Rate Forecast</t>
  </si>
  <si>
    <t xml:space="preserve">  </t>
  </si>
  <si>
    <t>Depreciation</t>
  </si>
  <si>
    <t>Income Taxes</t>
  </si>
  <si>
    <t>Net Operating Profit After Tax</t>
  </si>
  <si>
    <t>Depreciation (Add-back)</t>
  </si>
  <si>
    <t>Capital Expenditures</t>
  </si>
  <si>
    <t xml:space="preserve">Tax Rate </t>
  </si>
  <si>
    <t>WACC</t>
  </si>
  <si>
    <t>Terminal Value</t>
  </si>
  <si>
    <t>Unlevered Free Cash Flows</t>
  </si>
  <si>
    <t>Terminal Adjusted EBITDA</t>
  </si>
  <si>
    <t xml:space="preserve">Terminal Deprecation </t>
  </si>
  <si>
    <t>Terminal Adjusted EBIT</t>
  </si>
  <si>
    <t>Terminal NOPAT</t>
  </si>
  <si>
    <t>Terminal Capital Expenditures</t>
  </si>
  <si>
    <t>Terminal Net Working Capital Change</t>
  </si>
  <si>
    <t>Terminal Debt-Free Cash Flow</t>
  </si>
  <si>
    <t>Dates</t>
  </si>
  <si>
    <t>High</t>
  </si>
  <si>
    <t xml:space="preserve">Low </t>
  </si>
  <si>
    <t>FY 32 Adjusted EBITDA</t>
  </si>
  <si>
    <t>Discounted Cash Flow Valuation</t>
  </si>
  <si>
    <t>Tullow Oil Discounted Cash Flow Valuation</t>
  </si>
  <si>
    <t>Risk Free Rate</t>
  </si>
  <si>
    <t>Beta</t>
  </si>
  <si>
    <t>Equity Risk Premium</t>
  </si>
  <si>
    <t>Capital Asset Pricing Model (CAPM)</t>
  </si>
  <si>
    <t>Weighted Average Cost of Capital (WACC)</t>
  </si>
  <si>
    <t>Weight of Debt</t>
  </si>
  <si>
    <t>Weight of Equity</t>
  </si>
  <si>
    <t xml:space="preserve">1+ Terminal Growth Rate </t>
  </si>
  <si>
    <t>Asset Beta</t>
  </si>
  <si>
    <t>DNO ASA</t>
  </si>
  <si>
    <t>OKEA</t>
  </si>
  <si>
    <t>Energean</t>
  </si>
  <si>
    <t>Forecast Assumptions</t>
  </si>
  <si>
    <t>Discounted Cash Flow Assumptions</t>
  </si>
  <si>
    <t>Per page 63 of the 2024 annual report.</t>
  </si>
  <si>
    <t>PV of Terminal Value</t>
  </si>
  <si>
    <t>Enterprise Value Calculation</t>
  </si>
  <si>
    <t>PV of Cash Flow</t>
  </si>
  <si>
    <t xml:space="preserve">Enterprise Value Indication </t>
  </si>
  <si>
    <t>Distribution of Value</t>
  </si>
  <si>
    <t>Period Cash Flow</t>
  </si>
  <si>
    <t xml:space="preserve">Terminal </t>
  </si>
  <si>
    <t xml:space="preserve">Total </t>
  </si>
  <si>
    <t>Per the 2025 annual report (page 65).</t>
  </si>
  <si>
    <t>Per investor presentation as of H1 2025 (slide 18).</t>
  </si>
  <si>
    <r>
      <rPr>
        <u/>
        <sz val="10"/>
        <color theme="1"/>
        <rFont val="Arial"/>
        <family val="2"/>
      </rPr>
      <t>Add</t>
    </r>
    <r>
      <rPr>
        <sz val="10"/>
        <color theme="1"/>
        <rFont val="Arial"/>
        <family val="2"/>
      </rPr>
      <t>: CF from operations</t>
    </r>
  </si>
  <si>
    <r>
      <rPr>
        <u/>
        <sz val="10"/>
        <color theme="1"/>
        <rFont val="Arial"/>
        <family val="2"/>
      </rPr>
      <t>Add</t>
    </r>
    <r>
      <rPr>
        <sz val="10"/>
        <color theme="1"/>
        <rFont val="Arial"/>
        <family val="2"/>
      </rPr>
      <t>: CF from investing</t>
    </r>
  </si>
  <si>
    <r>
      <rPr>
        <u/>
        <sz val="10"/>
        <color theme="1"/>
        <rFont val="Arial"/>
        <family val="2"/>
      </rPr>
      <t>Less</t>
    </r>
    <r>
      <rPr>
        <sz val="10"/>
        <color theme="1"/>
        <rFont val="Arial"/>
        <family val="2"/>
      </rPr>
      <t>: Mandatory repayments</t>
    </r>
  </si>
  <si>
    <t>ETR</t>
  </si>
  <si>
    <t>Size Premium</t>
  </si>
  <si>
    <t>Company Specific Premium</t>
  </si>
  <si>
    <t>Trading Comps Effective Tax Rate:</t>
  </si>
  <si>
    <t>European Beta:</t>
  </si>
  <si>
    <t>O&amp;G E&amp;P Beta</t>
  </si>
  <si>
    <t>NYU Stern</t>
  </si>
  <si>
    <t>Scenario</t>
  </si>
  <si>
    <t>Moderate leverage, partial shield</t>
  </si>
  <si>
    <t>High leverage, partial shield</t>
  </si>
  <si>
    <t>Very high leverage, partial shield</t>
  </si>
  <si>
    <t>Tax Rate</t>
  </si>
  <si>
    <t>Size Premium:</t>
  </si>
  <si>
    <t>Low End Premium</t>
  </si>
  <si>
    <t>High End Premium</t>
  </si>
  <si>
    <t>Equity Beta Calculation:</t>
  </si>
  <si>
    <t>Company Specific Premium:</t>
  </si>
  <si>
    <t>Eurozone Equity Risk Premium</t>
  </si>
  <si>
    <t>Kroll</t>
  </si>
  <si>
    <t>Using the Kroll recommended equity risk premium range.</t>
  </si>
  <si>
    <t>CSRP</t>
  </si>
  <si>
    <t>Higher end of the range due to D/E ratio</t>
  </si>
  <si>
    <t>Equity Risk Premium (Damodaran Approach):</t>
  </si>
  <si>
    <t>Kroll Range for ~133M EU E&amp;P Smaller Market cap company's.</t>
  </si>
  <si>
    <t>Tullow is distressed so we selected the higher end of the range for Rp.</t>
  </si>
  <si>
    <t>Cost of Debt</t>
  </si>
  <si>
    <t>Market Value of Equity</t>
  </si>
  <si>
    <t>Total Debt</t>
  </si>
  <si>
    <t>Energean plc (LSE:ENOG)</t>
  </si>
  <si>
    <t>Northern Oil and Gas, Inc. (NYSE:NOG)</t>
  </si>
  <si>
    <t>Tullow Oil plc (LSE:TLW)</t>
  </si>
  <si>
    <t>Weight Equity</t>
  </si>
  <si>
    <t>Weight Debt</t>
  </si>
  <si>
    <t>25th</t>
  </si>
  <si>
    <t>75th</t>
  </si>
  <si>
    <t>Average</t>
  </si>
  <si>
    <t xml:space="preserve">Comps Capital Structure </t>
  </si>
  <si>
    <t>Metric</t>
  </si>
  <si>
    <t>Target Weight of Debt</t>
  </si>
  <si>
    <t>Country Risk Premium</t>
  </si>
  <si>
    <t>Debt</t>
  </si>
  <si>
    <t xml:space="preserve">Equity Value </t>
  </si>
  <si>
    <t>Shares Outstanding (in mil.)</t>
  </si>
  <si>
    <t>Implied Share Price</t>
  </si>
  <si>
    <t>Country Specific Premium:</t>
  </si>
  <si>
    <t>Estimated Recovery - %</t>
  </si>
  <si>
    <t>Estimated Liquidation Value</t>
  </si>
  <si>
    <t>Low</t>
  </si>
  <si>
    <t>Med</t>
  </si>
  <si>
    <t>Inventories</t>
  </si>
  <si>
    <t>Property Plant &amp; Equipment</t>
  </si>
  <si>
    <t>Assets</t>
  </si>
  <si>
    <t>Liabilities</t>
  </si>
  <si>
    <t>Enterprise Value</t>
  </si>
  <si>
    <t>Net Debt</t>
  </si>
  <si>
    <t>Tullow Oil Liquidation Valuation</t>
  </si>
  <si>
    <t>Liquidation Valuation</t>
  </si>
  <si>
    <t>2024A</t>
  </si>
  <si>
    <t>Terminal Growth Rates</t>
  </si>
  <si>
    <t>Terminal Growth Rate</t>
  </si>
  <si>
    <t>Source indicates that the terminal growth rate is 0%.</t>
  </si>
  <si>
    <t>NYU outlines the UK at having a .8% CSP.</t>
  </si>
  <si>
    <t>TGS 2023 Q4 Earnings Release</t>
  </si>
  <si>
    <t>Non-current provisions (incl. decommissioning/ARO)</t>
  </si>
  <si>
    <t>https://www.capitaliq.com/CIQDotNet/Filings/DocumentRedirector.axd?documentId=-1563920100</t>
  </si>
  <si>
    <t>Account (2024A USD $m)</t>
  </si>
  <si>
    <t>Cash &amp; cash equivalents (555.1)</t>
  </si>
  <si>
    <t>https://www.tullowoil.com/application/files/4417/4288/4975/Tullow_Oil_Plc_-_2024_FY_Report_-_FINAL.pdf</t>
  </si>
  <si>
    <t>Receivables – Trade receivables (137.9)</t>
  </si>
  <si>
    <t>Receivables – Amounts due from JV partners (current) (350.2)</t>
  </si>
  <si>
    <t>Receivables – Prepayments (17.1)</t>
  </si>
  <si>
    <t>Receivables – Other current assets (3.7)</t>
  </si>
  <si>
    <t>Inventories (132.4)</t>
  </si>
  <si>
    <t>PP&amp;E (2,324.1)</t>
  </si>
  <si>
    <t>Other non-current assets – Amounts due from JV partners (333.1)</t>
  </si>
  <si>
    <t>Other non-current assets – VAT recoverable (7.7)</t>
  </si>
  <si>
    <t>Receivables – Trade receivables</t>
  </si>
  <si>
    <t>Receivables – Amounts due from JV partners</t>
  </si>
  <si>
    <t>Core Account</t>
  </si>
  <si>
    <t>Specific Account</t>
  </si>
  <si>
    <t xml:space="preserve">Cash &amp; Equivalent </t>
  </si>
  <si>
    <t>Other non-current assets – Amounts due from JV partners</t>
  </si>
  <si>
    <t>Other non-current assets – VAT recoverable</t>
  </si>
  <si>
    <t>Payable</t>
  </si>
  <si>
    <t>Long-Term borrowings</t>
  </si>
  <si>
    <t>Short-Term Leases</t>
  </si>
  <si>
    <t>Accrued Expenses</t>
  </si>
  <si>
    <t>Short-Term Debt</t>
  </si>
  <si>
    <t>Taxes</t>
  </si>
  <si>
    <t xml:space="preserve">Current trade &amp; other payables – Other payables </t>
  </si>
  <si>
    <t xml:space="preserve">Current trade &amp; other payables – Overlifts </t>
  </si>
  <si>
    <t>Other non-current payables</t>
  </si>
  <si>
    <t>Source says cash is held as bank/short-term deposits on the B/S; so we use 98% to reflect minor trap/FX risk only.</t>
  </si>
  <si>
    <t>Source says trade receivables arise from oil/gas liftings with short settlement; so we use 75% (orderly collectability with wind-down timing/credit haircut).</t>
  </si>
  <si>
    <t>Source says Note 10 includes significant JV cash-call receivables (e.g., Ghana/TEN related); so we use 60% for contractual claims tempered by sovereign/JV set-off risk.</t>
  </si>
  <si>
    <t>Source says inventory is oil stock + warehouse spares; so we use 60% (crude near market; spares clear slowly).</t>
  </si>
  <si>
    <t>Source says provider “Other CA” aggregates prepaids/deposits/misc.; so we use 25% to mirror refundability mix.</t>
  </si>
  <si>
    <t>Source says PP&amp;E is mainly offshore producing assets (Ghana/Jubilee/TEN) subject to impairment testing; so we use 30% (forced-sale pricing with decline/future capex haircuts).</t>
  </si>
  <si>
    <t>Source says long-dated JV receivables (cash-calls/lease-related); so we use 60% for collectability with timing/sovereign risk.</t>
  </si>
  <si>
    <t>Source says statutory VAT recoverable; so we use 60% for admin/timing risk (higher potential if claims progressed).</t>
  </si>
  <si>
    <t>Source says within “trade &amp; other payables”; so we use 100%—operating claims at par.</t>
  </si>
  <si>
    <t>Source says current borrowings (incl. current portion of LT debt) disclosed; so we use 100%—par in waterfall.</t>
  </si>
  <si>
    <t>Source says statutory tax payable shown separately; so we use 100%—priority statutory obligations.</t>
  </si>
  <si>
    <t>Source says contractual other payables; so we use 100%—par.</t>
  </si>
  <si>
    <t>Source says overlifts are entitlement payables measured at market; so we use 100%—full settlement.</t>
  </si>
  <si>
    <t>Source says near-term field/claim items; so we use 105% as settlements often exceed book in a wind-down.</t>
  </si>
  <si>
    <t>Source says fair-valued derivatives; so we use 100%—assume full settlement if not netted.</t>
  </si>
  <si>
    <t>Source says gross borrowings by maturity; so we use 100%—par for liability side math.</t>
  </si>
  <si>
    <t>Source says IFRS 16 non-current lease liabilities; so we use 100%—contractual.</t>
  </si>
  <si>
    <t>Source says provisions include field decommissioning and other long-tail obligations; so we use 105% since wind-down often increases cash outlay (acceleration/contractor premia).</t>
  </si>
  <si>
    <t>Source says long-dated contractual/JV-related payables; so we use 100% (contractual amounts assumed payable at par).</t>
  </si>
  <si>
    <t>Priority class in liquidation</t>
  </si>
  <si>
    <t>Portion due &lt;12m of the secured debt stack (Super-Senior RCF if drawn; 2026 Senior Secured Notes; $400m Secured Notes Facility)</t>
  </si>
  <si>
    <t>Remaining secured debt stack (2026 Senior Secured Notes; $400m Secured Notes Facility; plus SSRCF if drawn)</t>
  </si>
  <si>
    <t>Taxes payable to host governments</t>
  </si>
  <si>
    <t>Near-term ARO/decommissioning and similar statutory items</t>
  </si>
  <si>
    <t>Longer-dated decommissioning obligations</t>
  </si>
  <si>
    <t>Trade payables</t>
  </si>
  <si>
    <t>General unsecured</t>
  </si>
  <si>
    <t>Accruals (opex/capex, interest, payroll, etc.)</t>
  </si>
  <si>
    <t>Other current payables per Note 12</t>
  </si>
  <si>
    <t>JV overlifts shown in “Trade &amp; other payables”</t>
  </si>
  <si>
    <t>Mark-to-market on oil hedges</t>
  </si>
  <si>
    <t>IFRS 16 lease liabilities (non-current)</t>
  </si>
  <si>
    <t>IFRS 16 current portion</t>
  </si>
  <si>
    <t>Non-current JV/other balances</t>
  </si>
  <si>
    <t xml:space="preserve">Current derivative liabilities </t>
  </si>
  <si>
    <t xml:space="preserve">Current provisions </t>
  </si>
  <si>
    <t>Cap Table</t>
  </si>
  <si>
    <t>Accruals</t>
  </si>
  <si>
    <t>Source says accruals include open/capex/interest/payroll; so we use 100%—par.</t>
  </si>
  <si>
    <t xml:space="preserve">Line Item </t>
  </si>
  <si>
    <t>Tullow</t>
  </si>
  <si>
    <t>Equity Value</t>
  </si>
  <si>
    <t xml:space="preserve">Amount </t>
  </si>
  <si>
    <t>Recovery Rank</t>
  </si>
  <si>
    <t xml:space="preserve">Curr. Port. of LT Debt </t>
  </si>
  <si>
    <t xml:space="preserve">Long-Term borrowings </t>
  </si>
  <si>
    <t xml:space="preserve">Current income taxes payable </t>
  </si>
  <si>
    <t xml:space="preserve">Non-current provisions (incl. decommissioning/ARO) </t>
  </si>
  <si>
    <t xml:space="preserve">Short-Term Leases </t>
  </si>
  <si>
    <t xml:space="preserve">Long-Term Leases </t>
  </si>
  <si>
    <t xml:space="preserve">Payable </t>
  </si>
  <si>
    <t xml:space="preserve">Accrued expenses </t>
  </si>
  <si>
    <t>Proceeds Waterfall</t>
  </si>
  <si>
    <t>Assets Available for Secured Debt</t>
  </si>
  <si>
    <t>Assets Available for Statutory Debt</t>
  </si>
  <si>
    <t>Assets Available for General Unsecured</t>
  </si>
  <si>
    <t>Value Available for Equity Holders Equity Value</t>
  </si>
  <si>
    <t>Account</t>
  </si>
  <si>
    <t>2025 Step</t>
  </si>
  <si>
    <t>Amount that Needs to be Refinanced</t>
  </si>
  <si>
    <t>WI Gas (boe/d)</t>
  </si>
  <si>
    <t>Total WI (boe/d)</t>
  </si>
  <si>
    <r>
      <rPr>
        <u/>
        <sz val="10"/>
        <color theme="1"/>
        <rFont val="Arial"/>
        <family val="2"/>
      </rPr>
      <t>Less</t>
    </r>
    <r>
      <rPr>
        <sz val="10"/>
        <color theme="1"/>
        <rFont val="Arial"/>
        <family val="2"/>
      </rPr>
      <t xml:space="preserve">: Minimum Cash Balance </t>
    </r>
  </si>
  <si>
    <t>Minimum Cash Balance</t>
  </si>
  <si>
    <t>Company doesn't explicitly have a minimum cash balance but we assume one of $300M conservatively, as they've historically been above that cash level.</t>
  </si>
  <si>
    <t>Refinance SD to 2032</t>
  </si>
  <si>
    <t>Need Capital</t>
  </si>
  <si>
    <t>Lease Principal Rate</t>
  </si>
  <si>
    <t>Lease Principal Expense</t>
  </si>
  <si>
    <t>No maintenance covenants on RCF per 2021 PLC report (pg. 133).</t>
  </si>
  <si>
    <t>Determined from the NPV of 2P reserves / 1.1x Senior Notes outstanding (pg. 133).</t>
  </si>
  <si>
    <t>The EIA's October 2025 STEO (Short-Term Energy Outlook) forecasts Brent to fall to an average of $62/bbl. in Q4 2025 and $52/bbl. in 2026 as oversupply builds. The $73 long-term value is based on older, pre-2025 data, as more recent forecasts are more bearish.</t>
  </si>
  <si>
    <t>Fitch Ratings' long-term price deck from November 2025 assumes Brent at $70/bbl. for 2025, $65 for 2026, and $60 for 2028 and beyond, reflecting a balanced market view despite short-term volatility.</t>
  </si>
  <si>
    <t>The World Bank's October 2025 Commodity Markets Outlook forecasts Brent to fall from an average of $68/bbl. in 2025 to $60/bbl. in 2026 due to an expanded oil glut, reaching a five-year low. The long-term $73 figure is a historical average/assumption from older reports.</t>
  </si>
  <si>
    <t>Expected continued natural decline with incremental gas growth as the Ghana MoU allows for improved gas monetization.</t>
  </si>
  <si>
    <t>Tullow Oil – Ghana Licenses MoU</t>
  </si>
  <si>
    <t>Normalization of realized pricing and plateauing of corporate efficiencies following cost-saving initiatives.</t>
  </si>
  <si>
    <t>Near-end-game profile reflecting the Ghana license horizon through 2040, approaching final years before economic limit.</t>
  </si>
  <si>
    <t>Tullow Oil – 2025 H1 Results</t>
  </si>
  <si>
    <t>Incurrence covenants allow debt payments only if 2P Reserve Coverage &gt;= 2.0x and Consolidated Leverage Ratio &lt; 1.5x (pg. 33).</t>
  </si>
  <si>
    <t>In November 2025, Morgan Stanley raised its near-term Brent forecast to $60/bbl. for the first half of 2026 after OPEC+ decided to pause production hikes, citing reduced volatility from OPEC+ involvement.</t>
  </si>
  <si>
    <t xml:space="preserve">Other Current Liabilities </t>
  </si>
  <si>
    <t>Asset Write-down &amp; Restructuring Costs</t>
  </si>
  <si>
    <t>Fwd. Step</t>
  </si>
  <si>
    <t>Receivables – Under lifts (20.9)</t>
  </si>
  <si>
    <t>Indicated Enterprise Value</t>
  </si>
  <si>
    <t xml:space="preserve">Secured (contractual) </t>
  </si>
  <si>
    <t xml:space="preserve">Statutory/priority claim </t>
  </si>
  <si>
    <t>Statutory/priority-claim</t>
  </si>
  <si>
    <t xml:space="preserve">General unsecured </t>
  </si>
  <si>
    <t>Tullow Oil Valuation Summary</t>
  </si>
  <si>
    <t>Valuation Summary</t>
  </si>
  <si>
    <t>Discounted Cash Flow</t>
  </si>
  <si>
    <t>Precedent Transactions</t>
  </si>
  <si>
    <t>Low (25th)</t>
  </si>
  <si>
    <t>Med (Median)</t>
  </si>
  <si>
    <t>High (75th)</t>
  </si>
  <si>
    <t>Precedent Transactions (EV/EBITDA)</t>
  </si>
  <si>
    <t>Trading Comps Valuation (EV/EBITDA)</t>
  </si>
  <si>
    <t>Relative Valuation</t>
  </si>
  <si>
    <t>Intrinsic Valuation</t>
  </si>
  <si>
    <t>Indicated Enterprise Value Range</t>
  </si>
  <si>
    <t>to</t>
  </si>
  <si>
    <t>Relevant Financial Measures</t>
  </si>
  <si>
    <t>Selected Multiples</t>
  </si>
  <si>
    <t>EBITDA (2024E):</t>
  </si>
  <si>
    <t>Adjusted EBITDA</t>
  </si>
  <si>
    <t xml:space="preserve">Trading Comps Valuation </t>
  </si>
  <si>
    <t>Precedent Transaction Valuation</t>
  </si>
  <si>
    <t>Avg. Asset Recovery Values</t>
  </si>
  <si>
    <t>Football Field Valuation Range</t>
  </si>
  <si>
    <t>Trading Comps</t>
  </si>
  <si>
    <t>Valuation</t>
  </si>
  <si>
    <t>Low (bar)</t>
  </si>
  <si>
    <t>Lo (Label)</t>
  </si>
  <si>
    <t>High (Bar)</t>
  </si>
  <si>
    <t>High (Label)</t>
  </si>
  <si>
    <t>Selected WACC</t>
  </si>
  <si>
    <t>Valuation Ranges</t>
  </si>
  <si>
    <t>Weighted Average Cost of Capital</t>
  </si>
  <si>
    <t>PV of Debt-Free Cash Flow @ 24.41%</t>
  </si>
  <si>
    <t>PV of Debt-Free Cash Flow @ 20.78%</t>
  </si>
  <si>
    <t>PV of Debt-Free Cash Flow @ 17.15%</t>
  </si>
  <si>
    <t>Days Sales Outstanding</t>
  </si>
  <si>
    <t>Days Other Sales Outstanding</t>
  </si>
  <si>
    <t>Days Inventory Outstanding</t>
  </si>
  <si>
    <t>Days Payable Outstanding</t>
  </si>
  <si>
    <t>Covenants</t>
  </si>
  <si>
    <t>,</t>
  </si>
  <si>
    <t xml:space="preserve">Assets Available for General Unsecured </t>
  </si>
  <si>
    <t>Class</t>
  </si>
  <si>
    <t>Pre-Restructuring Balance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</si>
</sst>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1">
    <numFmt numFmtId="5" formatCode="&quot;$&quot;#,##0_);\(&quot;$&quot;#,##0\)"/>
    <numFmt numFmtId="8" formatCode="&quot;$&quot;#,##0.00_);[Red]\(&quot;$&quot;#,##0.00\)"/>
    <numFmt numFmtId="43" formatCode="_(* #,##0.00_);_(* \(#,##0.00\);_(* &quot;-&quot;??_);_(@_)"/>
    <numFmt numFmtId="164" formatCode="#,##0.0;\(#,##0.0\);&quot;--&quot;"/>
    <numFmt numFmtId="165" formatCode="0.0\x;\(0.0\x\);&quot;--&quot;"/>
    <numFmt numFmtId="166" formatCode="0.0%;\(0.0%\);&quot;--&quot;"/>
    <numFmt numFmtId="167" formatCode="General&quot;A&quot;"/>
    <numFmt numFmtId="168" formatCode="General&quot;E&quot;"/>
    <numFmt numFmtId="169" formatCode="#,##0;\(#,##0\);&quot;--&quot;"/>
    <numFmt numFmtId="170" formatCode="&quot;$&quot;0;\(&quot;$&quot;0\);&quot;--&quot;"/>
    <numFmt numFmtId="171" formatCode="0%;\(0%\);&quot;--&quot;"/>
    <numFmt numFmtId="172" formatCode="m/d/yy;@"/>
    <numFmt numFmtId="173" formatCode="#,##0.000;\(#,##0.000\);&quot;--&quot;"/>
    <numFmt numFmtId="174" formatCode="&quot;$&quot;#,##0.0"/>
    <numFmt numFmtId="175" formatCode="&quot;$&quot;#,##0.0_);\(&quot;$&quot;#,##0.0\)"/>
    <numFmt numFmtId="176" formatCode="0.0&quot;x&quot;"/>
    <numFmt numFmtId="177" formatCode="0.0%"/>
    <numFmt numFmtId="178" formatCode="#,##0;\(#,##0\)"/>
    <numFmt numFmtId="179" formatCode="#,##0.00;\(#,##0.00\)"/>
    <numFmt numFmtId="180" formatCode="0.0\x"/>
    <numFmt numFmtId="181" formatCode="&quot;$&quot;#,##0"/>
    <numFmt numFmtId="182" formatCode="&quot;$&quot;#,##0.00"/>
    <numFmt numFmtId="183" formatCode="0000&quot;A&quot;"/>
    <numFmt numFmtId="184" formatCode="0000&quot;E&quot;"/>
    <numFmt numFmtId="185" formatCode="_(* #,##0_);_(* \(#,##0\);_(* &quot;-&quot;??_);_(@_)"/>
    <numFmt numFmtId="186" formatCode="0.00&quot;x&quot;"/>
    <numFmt numFmtId="187" formatCode="#,##0.0&quot;M&quot;"/>
    <numFmt numFmtId="188" formatCode="&quot;S + &quot;0.00%"/>
    <numFmt numFmtId="189" formatCode="#,##0.00;\(#,##0.00\);&quot;--&quot;"/>
    <numFmt numFmtId="190" formatCode="0.0"/>
    <numFmt numFmtId="191" formatCode="0&quot;D&quot;"/>
  </numFmts>
  <fonts count="43" x14ac:knownFonts="1"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FF"/>
      <name val="Arial"/>
      <family val="2"/>
    </font>
    <font>
      <sz val="1"/>
      <color indexed="9"/>
      <name val="Symbol"/>
      <family val="1"/>
      <charset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rgb="FF0000FF"/>
      <name val="Arial"/>
      <family val="2"/>
    </font>
    <font>
      <i/>
      <sz val="10"/>
      <color theme="1"/>
      <name val="Arial"/>
      <family val="2"/>
    </font>
    <font>
      <i/>
      <sz val="10"/>
      <color rgb="FF0000FF"/>
      <name val="Arial"/>
      <family val="2"/>
    </font>
    <font>
      <sz val="11"/>
      <color theme="1"/>
      <name val="Arial"/>
      <family val="2"/>
    </font>
    <font>
      <b/>
      <sz val="10"/>
      <color rgb="FF0000FF"/>
      <name val="Arial"/>
      <family val="2"/>
    </font>
    <font>
      <sz val="10"/>
      <color rgb="FF008000"/>
      <name val="Arial"/>
      <family val="2"/>
    </font>
    <font>
      <b/>
      <i/>
      <sz val="10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Aptos"/>
      <family val="2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z val="10"/>
      <color rgb="FF0070C0"/>
      <name val="Arial"/>
      <family val="2"/>
    </font>
    <font>
      <sz val="10"/>
      <color rgb="FF00B050"/>
      <name val="Arial"/>
      <family val="2"/>
    </font>
    <font>
      <b/>
      <sz val="10"/>
      <name val="Arial"/>
      <family val="2"/>
    </font>
    <font>
      <u/>
      <sz val="10"/>
      <color rgb="FF0000FF"/>
      <name val="Arial"/>
      <family val="2"/>
    </font>
    <font>
      <b/>
      <sz val="11"/>
      <color rgb="FF0000FF"/>
      <name val="Calibri"/>
      <family val="2"/>
      <scheme val="minor"/>
    </font>
    <font>
      <b/>
      <sz val="10"/>
      <color rgb="FF008000"/>
      <name val="Arial"/>
      <family val="2"/>
    </font>
    <font>
      <i/>
      <sz val="9"/>
      <color theme="1"/>
      <name val="Arial"/>
      <family val="2"/>
    </font>
    <font>
      <b/>
      <u/>
      <sz val="10"/>
      <color rgb="FF0000FF"/>
      <name val="Arial"/>
      <family val="2"/>
    </font>
    <font>
      <u/>
      <sz val="11"/>
      <color theme="10"/>
      <name val="Calibri"/>
      <family val="2"/>
      <scheme val="minor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9"/>
      <color rgb="FF008000"/>
      <name val="Arial"/>
      <family val="2"/>
    </font>
    <font>
      <i/>
      <sz val="10"/>
      <color rgb="FF000000"/>
      <name val="Arial"/>
      <family val="2"/>
    </font>
    <font>
      <b/>
      <sz val="9"/>
      <color rgb="FF000000"/>
      <name val="Arial"/>
      <family val="2"/>
    </font>
    <font>
      <u/>
      <sz val="10"/>
      <color theme="1"/>
      <name val="Arial"/>
      <family val="2"/>
    </font>
    <font>
      <u/>
      <sz val="11"/>
      <color rgb="FF0000FF"/>
      <name val="Calibri"/>
      <family val="2"/>
      <scheme val="minor"/>
    </font>
    <font>
      <sz val="11"/>
      <color theme="1"/>
      <name val="Arial Narrow"/>
      <family val="2"/>
    </font>
    <font>
      <sz val="10"/>
      <color rgb="FF3271D2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0486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lightUp">
        <fgColor theme="1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4" tint="0.79998168889431442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2">
    <xf numFmtId="0" fontId="0" fillId="0" borderId="0"/>
    <xf numFmtId="0" fontId="5" fillId="0" borderId="0" applyAlignment="0"/>
    <xf numFmtId="43" fontId="7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29" fillId="0" borderId="0" applyNumberFormat="0" applyFill="0" applyBorder="0" applyAlignment="0" applyProtection="0"/>
    <xf numFmtId="0" fontId="38" fillId="0" borderId="0"/>
    <xf numFmtId="43" fontId="38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</cellStyleXfs>
  <cellXfs count="518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1" xfId="0" applyFont="1" applyBorder="1"/>
    <xf numFmtId="164" fontId="2" fillId="0" borderId="0" xfId="0" applyNumberFormat="1" applyFont="1"/>
    <xf numFmtId="0" fontId="4" fillId="0" borderId="0" xfId="0" applyFont="1"/>
    <xf numFmtId="169" fontId="2" fillId="0" borderId="0" xfId="0" applyNumberFormat="1" applyFont="1"/>
    <xf numFmtId="0" fontId="6" fillId="0" borderId="0" xfId="0" applyFont="1"/>
    <xf numFmtId="0" fontId="6" fillId="0" borderId="0" xfId="0" applyFont="1" applyAlignment="1">
      <alignment horizontal="left" indent="1"/>
    </xf>
    <xf numFmtId="167" fontId="1" fillId="2" borderId="2" xfId="0" applyNumberFormat="1" applyFont="1" applyFill="1" applyBorder="1" applyAlignment="1">
      <alignment horizontal="center"/>
    </xf>
    <xf numFmtId="167" fontId="1" fillId="2" borderId="3" xfId="0" applyNumberFormat="1" applyFont="1" applyFill="1" applyBorder="1" applyAlignment="1">
      <alignment horizontal="center"/>
    </xf>
    <xf numFmtId="164" fontId="2" fillId="0" borderId="4" xfId="0" applyNumberFormat="1" applyFont="1" applyBorder="1"/>
    <xf numFmtId="0" fontId="3" fillId="0" borderId="5" xfId="0" applyFont="1" applyBorder="1"/>
    <xf numFmtId="0" fontId="2" fillId="0" borderId="4" xfId="0" applyFont="1" applyBorder="1"/>
    <xf numFmtId="0" fontId="1" fillId="2" borderId="4" xfId="0" applyFont="1" applyFill="1" applyBorder="1"/>
    <xf numFmtId="169" fontId="2" fillId="0" borderId="6" xfId="0" applyNumberFormat="1" applyFont="1" applyBorder="1"/>
    <xf numFmtId="171" fontId="6" fillId="0" borderId="0" xfId="0" applyNumberFormat="1" applyFont="1"/>
    <xf numFmtId="171" fontId="6" fillId="0" borderId="4" xfId="0" applyNumberFormat="1" applyFont="1" applyBorder="1"/>
    <xf numFmtId="0" fontId="3" fillId="0" borderId="0" xfId="0" applyFont="1"/>
    <xf numFmtId="169" fontId="4" fillId="0" borderId="0" xfId="0" applyNumberFormat="1" applyFont="1"/>
    <xf numFmtId="169" fontId="4" fillId="0" borderId="4" xfId="0" applyNumberFormat="1" applyFont="1" applyBorder="1"/>
    <xf numFmtId="0" fontId="2" fillId="0" borderId="7" xfId="0" applyFont="1" applyBorder="1"/>
    <xf numFmtId="169" fontId="2" fillId="0" borderId="7" xfId="0" applyNumberFormat="1" applyFont="1" applyBorder="1"/>
    <xf numFmtId="168" fontId="1" fillId="2" borderId="3" xfId="0" applyNumberFormat="1" applyFont="1" applyFill="1" applyBorder="1" applyAlignment="1">
      <alignment horizontal="center"/>
    </xf>
    <xf numFmtId="171" fontId="9" fillId="0" borderId="0" xfId="0" applyNumberFormat="1" applyFont="1"/>
    <xf numFmtId="169" fontId="8" fillId="0" borderId="0" xfId="0" applyNumberFormat="1" applyFont="1"/>
    <xf numFmtId="0" fontId="2" fillId="0" borderId="1" xfId="0" applyFont="1" applyBorder="1"/>
    <xf numFmtId="169" fontId="4" fillId="0" borderId="1" xfId="0" applyNumberFormat="1" applyFont="1" applyBorder="1"/>
    <xf numFmtId="169" fontId="2" fillId="0" borderId="4" xfId="0" applyNumberFormat="1" applyFont="1" applyBorder="1"/>
    <xf numFmtId="164" fontId="2" fillId="0" borderId="7" xfId="0" applyNumberFormat="1" applyFont="1" applyBorder="1"/>
    <xf numFmtId="0" fontId="10" fillId="3" borderId="0" xfId="0" applyFont="1" applyFill="1" applyAlignment="1">
      <alignment horizontal="left" indent="1"/>
    </xf>
    <xf numFmtId="169" fontId="11" fillId="3" borderId="0" xfId="0" applyNumberFormat="1" applyFont="1" applyFill="1"/>
    <xf numFmtId="169" fontId="11" fillId="3" borderId="4" xfId="0" applyNumberFormat="1" applyFont="1" applyFill="1" applyBorder="1"/>
    <xf numFmtId="166" fontId="10" fillId="3" borderId="0" xfId="0" applyNumberFormat="1" applyFont="1" applyFill="1"/>
    <xf numFmtId="169" fontId="10" fillId="3" borderId="0" xfId="0" applyNumberFormat="1" applyFont="1" applyFill="1"/>
    <xf numFmtId="0" fontId="10" fillId="3" borderId="0" xfId="0" applyFont="1" applyFill="1"/>
    <xf numFmtId="164" fontId="11" fillId="3" borderId="0" xfId="0" applyNumberFormat="1" applyFont="1" applyFill="1"/>
    <xf numFmtId="164" fontId="11" fillId="3" borderId="4" xfId="0" applyNumberFormat="1" applyFont="1" applyFill="1" applyBorder="1"/>
    <xf numFmtId="164" fontId="10" fillId="3" borderId="0" xfId="0" applyNumberFormat="1" applyFont="1" applyFill="1"/>
    <xf numFmtId="167" fontId="1" fillId="2" borderId="14" xfId="0" applyNumberFormat="1" applyFont="1" applyFill="1" applyBorder="1" applyAlignment="1">
      <alignment horizontal="center"/>
    </xf>
    <xf numFmtId="0" fontId="12" fillId="0" borderId="0" xfId="0" applyFont="1"/>
    <xf numFmtId="164" fontId="3" fillId="0" borderId="15" xfId="0" applyNumberFormat="1" applyFont="1" applyBorder="1"/>
    <xf numFmtId="164" fontId="3" fillId="0" borderId="0" xfId="0" applyNumberFormat="1" applyFont="1"/>
    <xf numFmtId="164" fontId="3" fillId="0" borderId="7" xfId="0" applyNumberFormat="1" applyFont="1" applyBorder="1"/>
    <xf numFmtId="169" fontId="3" fillId="0" borderId="7" xfId="0" applyNumberFormat="1" applyFont="1" applyBorder="1"/>
    <xf numFmtId="169" fontId="13" fillId="0" borderId="0" xfId="0" applyNumberFormat="1" applyFont="1"/>
    <xf numFmtId="169" fontId="13" fillId="0" borderId="4" xfId="0" applyNumberFormat="1" applyFont="1" applyBorder="1"/>
    <xf numFmtId="169" fontId="3" fillId="0" borderId="0" xfId="0" applyNumberFormat="1" applyFont="1"/>
    <xf numFmtId="169" fontId="3" fillId="0" borderId="4" xfId="0" applyNumberFormat="1" applyFont="1" applyBorder="1"/>
    <xf numFmtId="164" fontId="2" fillId="0" borderId="13" xfId="0" applyNumberFormat="1" applyFont="1" applyBorder="1"/>
    <xf numFmtId="169" fontId="14" fillId="0" borderId="0" xfId="0" applyNumberFormat="1" applyFont="1"/>
    <xf numFmtId="169" fontId="14" fillId="0" borderId="4" xfId="0" applyNumberFormat="1" applyFont="1" applyBorder="1"/>
    <xf numFmtId="0" fontId="3" fillId="0" borderId="15" xfId="0" applyFont="1" applyBorder="1"/>
    <xf numFmtId="169" fontId="4" fillId="0" borderId="5" xfId="0" applyNumberFormat="1" applyFont="1" applyBorder="1"/>
    <xf numFmtId="169" fontId="15" fillId="3" borderId="0" xfId="0" applyNumberFormat="1" applyFont="1" applyFill="1"/>
    <xf numFmtId="0" fontId="1" fillId="2" borderId="16" xfId="0" applyFont="1" applyFill="1" applyBorder="1"/>
    <xf numFmtId="167" fontId="1" fillId="2" borderId="17" xfId="0" applyNumberFormat="1" applyFont="1" applyFill="1" applyBorder="1" applyAlignment="1">
      <alignment horizontal="center"/>
    </xf>
    <xf numFmtId="168" fontId="1" fillId="2" borderId="17" xfId="0" applyNumberFormat="1" applyFont="1" applyFill="1" applyBorder="1" applyAlignment="1">
      <alignment horizontal="center"/>
    </xf>
    <xf numFmtId="168" fontId="1" fillId="2" borderId="18" xfId="0" applyNumberFormat="1" applyFont="1" applyFill="1" applyBorder="1" applyAlignment="1">
      <alignment horizontal="center"/>
    </xf>
    <xf numFmtId="0" fontId="2" fillId="0" borderId="6" xfId="0" applyFont="1" applyBorder="1"/>
    <xf numFmtId="0" fontId="1" fillId="2" borderId="17" xfId="0" applyFont="1" applyFill="1" applyBorder="1"/>
    <xf numFmtId="0" fontId="2" fillId="2" borderId="17" xfId="0" applyFont="1" applyFill="1" applyBorder="1"/>
    <xf numFmtId="0" fontId="2" fillId="2" borderId="18" xfId="0" applyFont="1" applyFill="1" applyBorder="1"/>
    <xf numFmtId="181" fontId="3" fillId="0" borderId="0" xfId="0" applyNumberFormat="1" applyFont="1"/>
    <xf numFmtId="0" fontId="1" fillId="2" borderId="16" xfId="4" applyFont="1" applyFill="1" applyBorder="1"/>
    <xf numFmtId="0" fontId="1" fillId="2" borderId="17" xfId="4" applyFont="1" applyFill="1" applyBorder="1"/>
    <xf numFmtId="0" fontId="1" fillId="2" borderId="18" xfId="4" applyFont="1" applyFill="1" applyBorder="1"/>
    <xf numFmtId="0" fontId="2" fillId="0" borderId="0" xfId="4" applyFont="1"/>
    <xf numFmtId="0" fontId="1" fillId="0" borderId="0" xfId="4" applyFont="1"/>
    <xf numFmtId="0" fontId="1" fillId="0" borderId="0" xfId="4" applyFont="1" applyAlignment="1">
      <alignment horizontal="center"/>
    </xf>
    <xf numFmtId="0" fontId="1" fillId="2" borderId="17" xfId="4" applyFont="1" applyFill="1" applyBorder="1" applyAlignment="1">
      <alignment horizontal="center" wrapText="1"/>
    </xf>
    <xf numFmtId="0" fontId="1" fillId="2" borderId="17" xfId="4" applyFont="1" applyFill="1" applyBorder="1" applyAlignment="1">
      <alignment horizontal="center"/>
    </xf>
    <xf numFmtId="0" fontId="1" fillId="2" borderId="18" xfId="4" applyFont="1" applyFill="1" applyBorder="1" applyAlignment="1">
      <alignment horizontal="center"/>
    </xf>
    <xf numFmtId="0" fontId="2" fillId="0" borderId="0" xfId="4" applyFont="1" applyAlignment="1">
      <alignment vertical="center" wrapText="1"/>
    </xf>
    <xf numFmtId="0" fontId="2" fillId="0" borderId="0" xfId="4" applyFont="1" applyAlignment="1">
      <alignment horizontal="left" indent="1"/>
    </xf>
    <xf numFmtId="181" fontId="4" fillId="0" borderId="0" xfId="4" applyNumberFormat="1" applyFont="1" applyAlignment="1">
      <alignment horizontal="center" vertical="center" wrapText="1"/>
    </xf>
    <xf numFmtId="176" fontId="4" fillId="0" borderId="0" xfId="4" applyNumberFormat="1" applyFont="1" applyAlignment="1">
      <alignment horizontal="center" vertical="center" wrapText="1"/>
    </xf>
    <xf numFmtId="14" fontId="2" fillId="0" borderId="0" xfId="4" applyNumberFormat="1" applyFont="1"/>
    <xf numFmtId="176" fontId="3" fillId="0" borderId="0" xfId="4" applyNumberFormat="1" applyFont="1" applyAlignment="1">
      <alignment horizontal="center" vertical="center"/>
    </xf>
    <xf numFmtId="0" fontId="3" fillId="0" borderId="0" xfId="4" applyFont="1"/>
    <xf numFmtId="0" fontId="1" fillId="2" borderId="8" xfId="4" applyFont="1" applyFill="1" applyBorder="1"/>
    <xf numFmtId="14" fontId="1" fillId="2" borderId="7" xfId="4" applyNumberFormat="1" applyFont="1" applyFill="1" applyBorder="1" applyAlignment="1">
      <alignment horizontal="centerContinuous"/>
    </xf>
    <xf numFmtId="0" fontId="1" fillId="2" borderId="11" xfId="4" applyFont="1" applyFill="1" applyBorder="1"/>
    <xf numFmtId="0" fontId="1" fillId="2" borderId="1" xfId="4" applyFont="1" applyFill="1" applyBorder="1" applyAlignment="1">
      <alignment horizontal="center"/>
    </xf>
    <xf numFmtId="0" fontId="2" fillId="0" borderId="0" xfId="0" applyFont="1" applyAlignment="1">
      <alignment horizontal="left" vertical="top"/>
    </xf>
    <xf numFmtId="180" fontId="4" fillId="0" borderId="0" xfId="0" applyNumberFormat="1" applyFont="1" applyAlignment="1">
      <alignment horizontal="center" vertical="top"/>
    </xf>
    <xf numFmtId="179" fontId="4" fillId="0" borderId="0" xfId="0" applyNumberFormat="1" applyFont="1" applyAlignment="1">
      <alignment horizontal="center" vertical="top"/>
    </xf>
    <xf numFmtId="180" fontId="4" fillId="0" borderId="0" xfId="0" applyNumberFormat="1" applyFont="1" applyAlignment="1">
      <alignment horizontal="center" vertical="center"/>
    </xf>
    <xf numFmtId="0" fontId="2" fillId="0" borderId="1" xfId="4" applyFont="1" applyBorder="1"/>
    <xf numFmtId="178" fontId="2" fillId="0" borderId="0" xfId="0" applyNumberFormat="1" applyFont="1" applyAlignment="1">
      <alignment horizontal="right" vertical="top"/>
    </xf>
    <xf numFmtId="175" fontId="2" fillId="0" borderId="0" xfId="4" applyNumberFormat="1" applyFont="1" applyAlignment="1">
      <alignment horizontal="center"/>
    </xf>
    <xf numFmtId="176" fontId="2" fillId="0" borderId="0" xfId="4" applyNumberFormat="1" applyFont="1" applyAlignment="1">
      <alignment horizontal="center"/>
    </xf>
    <xf numFmtId="176" fontId="3" fillId="0" borderId="1" xfId="4" applyNumberFormat="1" applyFont="1" applyBorder="1" applyAlignment="1">
      <alignment horizontal="center" vertical="center"/>
    </xf>
    <xf numFmtId="0" fontId="3" fillId="0" borderId="17" xfId="4" applyFont="1" applyBorder="1" applyAlignment="1">
      <alignment horizontal="left" vertical="top"/>
    </xf>
    <xf numFmtId="177" fontId="3" fillId="0" borderId="17" xfId="5" applyNumberFormat="1" applyFont="1" applyBorder="1" applyAlignment="1">
      <alignment horizontal="center" vertical="center"/>
    </xf>
    <xf numFmtId="176" fontId="2" fillId="0" borderId="0" xfId="4" applyNumberFormat="1" applyFont="1"/>
    <xf numFmtId="174" fontId="2" fillId="0" borderId="0" xfId="0" applyNumberFormat="1" applyFont="1"/>
    <xf numFmtId="0" fontId="3" fillId="5" borderId="8" xfId="4" applyFont="1" applyFill="1" applyBorder="1" applyAlignment="1">
      <alignment horizontal="left" vertical="top"/>
    </xf>
    <xf numFmtId="0" fontId="3" fillId="5" borderId="7" xfId="4" applyFont="1" applyFill="1" applyBorder="1" applyAlignment="1">
      <alignment horizontal="left" vertical="top"/>
    </xf>
    <xf numFmtId="0" fontId="3" fillId="0" borderId="6" xfId="4" applyFont="1" applyBorder="1" applyAlignment="1">
      <alignment horizontal="left" vertical="top"/>
    </xf>
    <xf numFmtId="0" fontId="3" fillId="0" borderId="0" xfId="4" applyFont="1" applyAlignment="1">
      <alignment horizontal="left" vertical="top"/>
    </xf>
    <xf numFmtId="174" fontId="2" fillId="0" borderId="1" xfId="0" applyNumberFormat="1" applyFont="1" applyBorder="1"/>
    <xf numFmtId="0" fontId="3" fillId="5" borderId="6" xfId="4" applyFont="1" applyFill="1" applyBorder="1" applyAlignment="1">
      <alignment horizontal="left" vertical="top"/>
    </xf>
    <xf numFmtId="0" fontId="3" fillId="5" borderId="0" xfId="4" applyFont="1" applyFill="1" applyAlignment="1">
      <alignment horizontal="left" vertical="top"/>
    </xf>
    <xf numFmtId="0" fontId="3" fillId="0" borderId="11" xfId="4" applyFont="1" applyBorder="1" applyAlignment="1">
      <alignment horizontal="left" vertical="top"/>
    </xf>
    <xf numFmtId="0" fontId="3" fillId="0" borderId="1" xfId="4" applyFont="1" applyBorder="1" applyAlignment="1">
      <alignment horizontal="left" vertical="top"/>
    </xf>
    <xf numFmtId="0" fontId="3" fillId="0" borderId="11" xfId="0" applyFont="1" applyBorder="1"/>
    <xf numFmtId="43" fontId="2" fillId="0" borderId="10" xfId="2" applyFont="1" applyBorder="1"/>
    <xf numFmtId="5" fontId="22" fillId="0" borderId="0" xfId="0" applyNumberFormat="1" applyFont="1"/>
    <xf numFmtId="0" fontId="3" fillId="0" borderId="7" xfId="0" applyFont="1" applyBorder="1" applyAlignment="1">
      <alignment horizontal="left"/>
    </xf>
    <xf numFmtId="185" fontId="23" fillId="0" borderId="7" xfId="3" applyNumberFormat="1" applyFont="1" applyBorder="1"/>
    <xf numFmtId="182" fontId="2" fillId="0" borderId="0" xfId="0" applyNumberFormat="1" applyFont="1"/>
    <xf numFmtId="186" fontId="4" fillId="0" borderId="0" xfId="4" applyNumberFormat="1" applyFont="1"/>
    <xf numFmtId="0" fontId="4" fillId="0" borderId="0" xfId="4" applyFont="1"/>
    <xf numFmtId="0" fontId="24" fillId="0" borderId="0" xfId="4" applyFont="1"/>
    <xf numFmtId="1" fontId="4" fillId="0" borderId="0" xfId="4" applyNumberFormat="1" applyFont="1"/>
    <xf numFmtId="0" fontId="3" fillId="0" borderId="7" xfId="0" applyFont="1" applyBorder="1"/>
    <xf numFmtId="8" fontId="2" fillId="0" borderId="0" xfId="4" applyNumberFormat="1" applyFont="1"/>
    <xf numFmtId="3" fontId="3" fillId="0" borderId="7" xfId="0" applyNumberFormat="1" applyFont="1" applyBorder="1"/>
    <xf numFmtId="187" fontId="4" fillId="0" borderId="0" xfId="4" applyNumberFormat="1" applyFont="1"/>
    <xf numFmtId="37" fontId="0" fillId="0" borderId="0" xfId="0" applyNumberFormat="1" applyAlignment="1">
      <alignment horizontal="left"/>
    </xf>
    <xf numFmtId="37" fontId="25" fillId="0" borderId="0" xfId="0" applyNumberFormat="1" applyFont="1" applyAlignment="1">
      <alignment horizontal="right"/>
    </xf>
    <xf numFmtId="37" fontId="19" fillId="0" borderId="0" xfId="0" applyNumberFormat="1" applyFont="1" applyAlignment="1">
      <alignment horizontal="left"/>
    </xf>
    <xf numFmtId="0" fontId="8" fillId="0" borderId="0" xfId="4" applyFont="1"/>
    <xf numFmtId="186" fontId="1" fillId="2" borderId="17" xfId="4" applyNumberFormat="1" applyFont="1" applyFill="1" applyBorder="1"/>
    <xf numFmtId="9" fontId="4" fillId="0" borderId="0" xfId="6" applyFont="1"/>
    <xf numFmtId="175" fontId="4" fillId="0" borderId="0" xfId="0" applyNumberFormat="1" applyFont="1"/>
    <xf numFmtId="175" fontId="4" fillId="0" borderId="5" xfId="0" applyNumberFormat="1" applyFont="1" applyBorder="1"/>
    <xf numFmtId="174" fontId="14" fillId="4" borderId="0" xfId="5" applyNumberFormat="1" applyFont="1" applyFill="1" applyAlignment="1">
      <alignment horizontal="right"/>
    </xf>
    <xf numFmtId="174" fontId="14" fillId="4" borderId="1" xfId="5" applyNumberFormat="1" applyFont="1" applyFill="1" applyBorder="1"/>
    <xf numFmtId="3" fontId="14" fillId="4" borderId="6" xfId="0" applyNumberFormat="1" applyFont="1" applyFill="1" applyBorder="1"/>
    <xf numFmtId="3" fontId="4" fillId="0" borderId="0" xfId="4" applyNumberFormat="1" applyFont="1"/>
    <xf numFmtId="37" fontId="20" fillId="0" borderId="0" xfId="0" applyNumberFormat="1" applyFont="1" applyAlignment="1">
      <alignment horizontal="right"/>
    </xf>
    <xf numFmtId="168" fontId="1" fillId="2" borderId="20" xfId="0" applyNumberFormat="1" applyFont="1" applyFill="1" applyBorder="1" applyAlignment="1">
      <alignment horizontal="center"/>
    </xf>
    <xf numFmtId="164" fontId="2" fillId="0" borderId="6" xfId="0" applyNumberFormat="1" applyFont="1" applyBorder="1"/>
    <xf numFmtId="166" fontId="10" fillId="3" borderId="6" xfId="0" applyNumberFormat="1" applyFont="1" applyFill="1" applyBorder="1"/>
    <xf numFmtId="168" fontId="1" fillId="2" borderId="16" xfId="0" applyNumberFormat="1" applyFont="1" applyFill="1" applyBorder="1" applyAlignment="1">
      <alignment horizontal="center"/>
    </xf>
    <xf numFmtId="1" fontId="4" fillId="0" borderId="6" xfId="4" applyNumberFormat="1" applyFont="1" applyBorder="1"/>
    <xf numFmtId="10" fontId="9" fillId="0" borderId="20" xfId="0" applyNumberFormat="1" applyFont="1" applyBorder="1"/>
    <xf numFmtId="0" fontId="2" fillId="0" borderId="11" xfId="0" applyFont="1" applyBorder="1"/>
    <xf numFmtId="0" fontId="3" fillId="0" borderId="1" xfId="0" applyFont="1" applyBorder="1" applyAlignment="1">
      <alignment horizontal="left" indent="1"/>
    </xf>
    <xf numFmtId="181" fontId="8" fillId="0" borderId="1" xfId="0" applyNumberFormat="1" applyFont="1" applyBorder="1"/>
    <xf numFmtId="174" fontId="14" fillId="4" borderId="6" xfId="5" applyNumberFormat="1" applyFont="1" applyFill="1" applyBorder="1" applyAlignment="1">
      <alignment horizontal="right"/>
    </xf>
    <xf numFmtId="0" fontId="3" fillId="0" borderId="1" xfId="0" applyFont="1" applyBorder="1" applyAlignment="1">
      <alignment horizontal="left"/>
    </xf>
    <xf numFmtId="0" fontId="3" fillId="0" borderId="9" xfId="0" applyFont="1" applyBorder="1"/>
    <xf numFmtId="169" fontId="26" fillId="0" borderId="0" xfId="0" applyNumberFormat="1" applyFont="1"/>
    <xf numFmtId="9" fontId="2" fillId="0" borderId="0" xfId="6" applyFont="1"/>
    <xf numFmtId="0" fontId="1" fillId="2" borderId="18" xfId="4" applyFont="1" applyFill="1" applyBorder="1" applyAlignment="1">
      <alignment horizontal="left"/>
    </xf>
    <xf numFmtId="0" fontId="27" fillId="3" borderId="0" xfId="0" applyFont="1" applyFill="1"/>
    <xf numFmtId="0" fontId="13" fillId="0" borderId="0" xfId="0" applyFont="1"/>
    <xf numFmtId="0" fontId="28" fillId="0" borderId="0" xfId="4" applyFont="1"/>
    <xf numFmtId="0" fontId="23" fillId="0" borderId="1" xfId="4" applyFont="1" applyBorder="1"/>
    <xf numFmtId="0" fontId="3" fillId="0" borderId="17" xfId="4" applyFont="1" applyBorder="1"/>
    <xf numFmtId="167" fontId="1" fillId="2" borderId="18" xfId="0" applyNumberFormat="1" applyFont="1" applyFill="1" applyBorder="1" applyAlignment="1">
      <alignment horizontal="center"/>
    </xf>
    <xf numFmtId="10" fontId="9" fillId="0" borderId="0" xfId="0" applyNumberFormat="1" applyFont="1"/>
    <xf numFmtId="43" fontId="2" fillId="0" borderId="0" xfId="2" applyFont="1" applyFill="1"/>
    <xf numFmtId="169" fontId="14" fillId="0" borderId="6" xfId="0" applyNumberFormat="1" applyFont="1" applyBorder="1"/>
    <xf numFmtId="1" fontId="8" fillId="0" borderId="0" xfId="0" applyNumberFormat="1" applyFont="1"/>
    <xf numFmtId="171" fontId="9" fillId="0" borderId="4" xfId="0" applyNumberFormat="1" applyFont="1" applyBorder="1"/>
    <xf numFmtId="43" fontId="2" fillId="0" borderId="0" xfId="2" applyFont="1" applyFill="1" applyBorder="1"/>
    <xf numFmtId="0" fontId="23" fillId="0" borderId="0" xfId="4" applyFont="1"/>
    <xf numFmtId="1" fontId="4" fillId="0" borderId="0" xfId="0" applyNumberFormat="1" applyFont="1"/>
    <xf numFmtId="0" fontId="24" fillId="0" borderId="0" xfId="7" applyFont="1"/>
    <xf numFmtId="180" fontId="4" fillId="0" borderId="0" xfId="4" applyNumberFormat="1" applyFont="1"/>
    <xf numFmtId="1" fontId="14" fillId="0" borderId="0" xfId="0" applyNumberFormat="1" applyFont="1"/>
    <xf numFmtId="1" fontId="14" fillId="0" borderId="6" xfId="0" applyNumberFormat="1" applyFont="1" applyBorder="1"/>
    <xf numFmtId="167" fontId="1" fillId="2" borderId="23" xfId="0" applyNumberFormat="1" applyFont="1" applyFill="1" applyBorder="1" applyAlignment="1">
      <alignment horizontal="center"/>
    </xf>
    <xf numFmtId="0" fontId="3" fillId="0" borderId="1" xfId="4" applyFont="1" applyBorder="1"/>
    <xf numFmtId="14" fontId="3" fillId="0" borderId="1" xfId="4" applyNumberFormat="1" applyFont="1" applyBorder="1"/>
    <xf numFmtId="0" fontId="1" fillId="2" borderId="18" xfId="4" applyFont="1" applyFill="1" applyBorder="1" applyAlignment="1">
      <alignment horizontal="center" wrapText="1"/>
    </xf>
    <xf numFmtId="10" fontId="2" fillId="0" borderId="0" xfId="5" applyNumberFormat="1" applyFont="1"/>
    <xf numFmtId="10" fontId="4" fillId="0" borderId="0" xfId="5" applyNumberFormat="1" applyFont="1"/>
    <xf numFmtId="0" fontId="3" fillId="0" borderId="0" xfId="0" applyFont="1" applyAlignment="1">
      <alignment horizontal="left"/>
    </xf>
    <xf numFmtId="170" fontId="4" fillId="0" borderId="0" xfId="0" applyNumberFormat="1" applyFont="1"/>
    <xf numFmtId="165" fontId="4" fillId="0" borderId="0" xfId="0" applyNumberFormat="1" applyFont="1"/>
    <xf numFmtId="166" fontId="4" fillId="0" borderId="0" xfId="0" applyNumberFormat="1" applyFont="1"/>
    <xf numFmtId="171" fontId="30" fillId="0" borderId="0" xfId="0" applyNumberFormat="1" applyFont="1"/>
    <xf numFmtId="171" fontId="30" fillId="0" borderId="4" xfId="0" applyNumberFormat="1" applyFont="1" applyBorder="1"/>
    <xf numFmtId="169" fontId="31" fillId="0" borderId="6" xfId="0" applyNumberFormat="1" applyFont="1" applyBorder="1"/>
    <xf numFmtId="169" fontId="31" fillId="0" borderId="0" xfId="0" applyNumberFormat="1" applyFont="1"/>
    <xf numFmtId="169" fontId="32" fillId="0" borderId="7" xfId="0" applyNumberFormat="1" applyFont="1" applyBorder="1"/>
    <xf numFmtId="169" fontId="32" fillId="0" borderId="8" xfId="0" applyNumberFormat="1" applyFont="1" applyBorder="1"/>
    <xf numFmtId="169" fontId="4" fillId="0" borderId="6" xfId="0" applyNumberFormat="1" applyFont="1" applyBorder="1"/>
    <xf numFmtId="169" fontId="31" fillId="0" borderId="7" xfId="0" applyNumberFormat="1" applyFont="1" applyBorder="1"/>
    <xf numFmtId="169" fontId="31" fillId="0" borderId="8" xfId="0" applyNumberFormat="1" applyFont="1" applyBorder="1"/>
    <xf numFmtId="169" fontId="32" fillId="0" borderId="10" xfId="0" applyNumberFormat="1" applyFont="1" applyBorder="1"/>
    <xf numFmtId="169" fontId="31" fillId="0" borderId="10" xfId="0" applyNumberFormat="1" applyFont="1" applyBorder="1"/>
    <xf numFmtId="169" fontId="4" fillId="0" borderId="11" xfId="0" applyNumberFormat="1" applyFont="1" applyBorder="1"/>
    <xf numFmtId="169" fontId="31" fillId="0" borderId="1" xfId="0" applyNumberFormat="1" applyFont="1" applyBorder="1"/>
    <xf numFmtId="169" fontId="32" fillId="0" borderId="9" xfId="0" applyNumberFormat="1" applyFont="1" applyBorder="1"/>
    <xf numFmtId="169" fontId="32" fillId="0" borderId="12" xfId="0" applyNumberFormat="1" applyFont="1" applyBorder="1"/>
    <xf numFmtId="171" fontId="30" fillId="0" borderId="13" xfId="0" applyNumberFormat="1" applyFont="1" applyBorder="1"/>
    <xf numFmtId="169" fontId="34" fillId="3" borderId="0" xfId="0" applyNumberFormat="1" applyFont="1" applyFill="1"/>
    <xf numFmtId="169" fontId="34" fillId="3" borderId="4" xfId="0" applyNumberFormat="1" applyFont="1" applyFill="1" applyBorder="1"/>
    <xf numFmtId="173" fontId="34" fillId="3" borderId="0" xfId="0" applyNumberFormat="1" applyFont="1" applyFill="1"/>
    <xf numFmtId="173" fontId="34" fillId="3" borderId="4" xfId="0" applyNumberFormat="1" applyFont="1" applyFill="1" applyBorder="1"/>
    <xf numFmtId="169" fontId="32" fillId="0" borderId="0" xfId="0" applyNumberFormat="1" applyFont="1"/>
    <xf numFmtId="169" fontId="32" fillId="0" borderId="4" xfId="0" applyNumberFormat="1" applyFont="1" applyBorder="1"/>
    <xf numFmtId="164" fontId="34" fillId="3" borderId="0" xfId="0" applyNumberFormat="1" applyFont="1" applyFill="1"/>
    <xf numFmtId="1" fontId="31" fillId="0" borderId="0" xfId="4" applyNumberFormat="1" applyFont="1"/>
    <xf numFmtId="1" fontId="31" fillId="0" borderId="6" xfId="4" applyNumberFormat="1" applyFont="1" applyBorder="1"/>
    <xf numFmtId="9" fontId="30" fillId="0" borderId="0" xfId="6" applyFont="1"/>
    <xf numFmtId="9" fontId="30" fillId="0" borderId="6" xfId="6" applyFont="1" applyBorder="1"/>
    <xf numFmtId="1" fontId="31" fillId="0" borderId="0" xfId="0" applyNumberFormat="1" applyFont="1"/>
    <xf numFmtId="9" fontId="34" fillId="3" borderId="0" xfId="6" applyFont="1" applyFill="1"/>
    <xf numFmtId="9" fontId="34" fillId="3" borderId="4" xfId="6" applyFont="1" applyFill="1" applyBorder="1"/>
    <xf numFmtId="9" fontId="34" fillId="3" borderId="0" xfId="0" applyNumberFormat="1" applyFont="1" applyFill="1"/>
    <xf numFmtId="164" fontId="34" fillId="3" borderId="4" xfId="0" applyNumberFormat="1" applyFont="1" applyFill="1" applyBorder="1"/>
    <xf numFmtId="1" fontId="34" fillId="3" borderId="0" xfId="0" applyNumberFormat="1" applyFont="1" applyFill="1"/>
    <xf numFmtId="37" fontId="31" fillId="0" borderId="0" xfId="0" applyNumberFormat="1" applyFont="1"/>
    <xf numFmtId="37" fontId="31" fillId="0" borderId="4" xfId="0" applyNumberFormat="1" applyFont="1" applyBorder="1"/>
    <xf numFmtId="169" fontId="32" fillId="0" borderId="15" xfId="0" applyNumberFormat="1" applyFont="1" applyBorder="1"/>
    <xf numFmtId="164" fontId="31" fillId="0" borderId="21" xfId="0" applyNumberFormat="1" applyFont="1" applyBorder="1"/>
    <xf numFmtId="169" fontId="31" fillId="0" borderId="4" xfId="0" applyNumberFormat="1" applyFont="1" applyBorder="1"/>
    <xf numFmtId="9" fontId="14" fillId="0" borderId="0" xfId="6" applyFont="1"/>
    <xf numFmtId="9" fontId="14" fillId="0" borderId="4" xfId="6" applyFont="1" applyBorder="1"/>
    <xf numFmtId="9" fontId="31" fillId="0" borderId="0" xfId="6" applyFont="1"/>
    <xf numFmtId="172" fontId="4" fillId="0" borderId="0" xfId="0" applyNumberFormat="1" applyFont="1"/>
    <xf numFmtId="172" fontId="4" fillId="0" borderId="4" xfId="0" applyNumberFormat="1" applyFont="1" applyBorder="1"/>
    <xf numFmtId="169" fontId="31" fillId="0" borderId="15" xfId="0" applyNumberFormat="1" applyFont="1" applyBorder="1"/>
    <xf numFmtId="169" fontId="31" fillId="0" borderId="22" xfId="0" applyNumberFormat="1" applyFont="1" applyBorder="1"/>
    <xf numFmtId="171" fontId="33" fillId="0" borderId="0" xfId="0" applyNumberFormat="1" applyFont="1"/>
    <xf numFmtId="171" fontId="14" fillId="0" borderId="0" xfId="0" applyNumberFormat="1" applyFont="1"/>
    <xf numFmtId="171" fontId="31" fillId="0" borderId="0" xfId="0" applyNumberFormat="1" applyFont="1"/>
    <xf numFmtId="185" fontId="32" fillId="0" borderId="8" xfId="3" applyNumberFormat="1" applyFont="1" applyBorder="1"/>
    <xf numFmtId="185" fontId="32" fillId="0" borderId="7" xfId="3" applyNumberFormat="1" applyFont="1" applyBorder="1"/>
    <xf numFmtId="3" fontId="31" fillId="4" borderId="6" xfId="0" applyNumberFormat="1" applyFont="1" applyFill="1" applyBorder="1"/>
    <xf numFmtId="3" fontId="31" fillId="4" borderId="0" xfId="0" applyNumberFormat="1" applyFont="1" applyFill="1"/>
    <xf numFmtId="174" fontId="4" fillId="4" borderId="0" xfId="5" applyNumberFormat="1" applyFont="1" applyFill="1" applyAlignment="1">
      <alignment horizontal="right"/>
    </xf>
    <xf numFmtId="14" fontId="4" fillId="0" borderId="0" xfId="4" applyNumberFormat="1" applyFont="1"/>
    <xf numFmtId="14" fontId="31" fillId="0" borderId="0" xfId="4" applyNumberFormat="1" applyFont="1"/>
    <xf numFmtId="10" fontId="31" fillId="0" borderId="0" xfId="5" applyNumberFormat="1" applyFont="1"/>
    <xf numFmtId="0" fontId="31" fillId="0" borderId="0" xfId="4" applyFont="1"/>
    <xf numFmtId="176" fontId="13" fillId="0" borderId="17" xfId="4" applyNumberFormat="1" applyFont="1" applyBorder="1" applyAlignment="1">
      <alignment horizontal="center" vertical="center"/>
    </xf>
    <xf numFmtId="2" fontId="13" fillId="0" borderId="17" xfId="4" applyNumberFormat="1" applyFont="1" applyBorder="1" applyAlignment="1">
      <alignment horizontal="center" vertical="center"/>
    </xf>
    <xf numFmtId="176" fontId="26" fillId="0" borderId="17" xfId="4" applyNumberFormat="1" applyFont="1" applyBorder="1" applyAlignment="1">
      <alignment horizontal="center" vertical="center"/>
    </xf>
    <xf numFmtId="176" fontId="32" fillId="5" borderId="7" xfId="0" applyNumberFormat="1" applyFont="1" applyFill="1" applyBorder="1" applyAlignment="1">
      <alignment horizontal="center" vertical="center"/>
    </xf>
    <xf numFmtId="176" fontId="32" fillId="0" borderId="0" xfId="0" applyNumberFormat="1" applyFont="1" applyAlignment="1">
      <alignment horizontal="center" vertical="center"/>
    </xf>
    <xf numFmtId="176" fontId="32" fillId="5" borderId="0" xfId="0" applyNumberFormat="1" applyFont="1" applyFill="1" applyAlignment="1">
      <alignment horizontal="center" vertical="center"/>
    </xf>
    <xf numFmtId="176" fontId="32" fillId="0" borderId="1" xfId="0" applyNumberFormat="1" applyFont="1" applyBorder="1" applyAlignment="1">
      <alignment horizontal="center" vertical="center"/>
    </xf>
    <xf numFmtId="14" fontId="4" fillId="0" borderId="0" xfId="4" applyNumberFormat="1" applyFont="1" applyAlignment="1">
      <alignment horizontal="center" vertical="top" wrapText="1"/>
    </xf>
    <xf numFmtId="1" fontId="31" fillId="0" borderId="4" xfId="0" applyNumberFormat="1" applyFont="1" applyBorder="1"/>
    <xf numFmtId="9" fontId="30" fillId="0" borderId="0" xfId="6" applyFont="1" applyBorder="1"/>
    <xf numFmtId="0" fontId="2" fillId="0" borderId="0" xfId="0" applyFont="1" applyAlignment="1">
      <alignment horizontal="left"/>
    </xf>
    <xf numFmtId="14" fontId="2" fillId="0" borderId="0" xfId="0" applyNumberFormat="1" applyFont="1"/>
    <xf numFmtId="167" fontId="1" fillId="2" borderId="16" xfId="0" applyNumberFormat="1" applyFont="1" applyFill="1" applyBorder="1" applyAlignment="1">
      <alignment horizontal="center"/>
    </xf>
    <xf numFmtId="10" fontId="2" fillId="0" borderId="0" xfId="0" applyNumberFormat="1" applyFont="1"/>
    <xf numFmtId="14" fontId="1" fillId="2" borderId="7" xfId="4" applyNumberFormat="1" applyFont="1" applyFill="1" applyBorder="1" applyAlignment="1">
      <alignment horizontal="left"/>
    </xf>
    <xf numFmtId="179" fontId="4" fillId="0" borderId="17" xfId="0" applyNumberFormat="1" applyFont="1" applyBorder="1" applyAlignment="1">
      <alignment horizontal="center" vertical="top"/>
    </xf>
    <xf numFmtId="14" fontId="1" fillId="2" borderId="7" xfId="4" applyNumberFormat="1" applyFont="1" applyFill="1" applyBorder="1" applyAlignment="1">
      <alignment horizontal="center"/>
    </xf>
    <xf numFmtId="0" fontId="4" fillId="0" borderId="0" xfId="4" applyFont="1" applyAlignment="1">
      <alignment horizontal="right"/>
    </xf>
    <xf numFmtId="9" fontId="4" fillId="0" borderId="0" xfId="4" applyNumberFormat="1" applyFont="1" applyAlignment="1">
      <alignment horizontal="right"/>
    </xf>
    <xf numFmtId="0" fontId="1" fillId="2" borderId="17" xfId="0" applyFont="1" applyFill="1" applyBorder="1" applyAlignment="1">
      <alignment horizontal="centerContinuous"/>
    </xf>
    <xf numFmtId="169" fontId="26" fillId="0" borderId="6" xfId="0" applyNumberFormat="1" applyFont="1" applyBorder="1"/>
    <xf numFmtId="171" fontId="35" fillId="0" borderId="7" xfId="0" applyNumberFormat="1" applyFont="1" applyBorder="1"/>
    <xf numFmtId="9" fontId="14" fillId="0" borderId="0" xfId="6" applyFont="1" applyAlignment="1">
      <alignment horizontal="center" vertical="top"/>
    </xf>
    <xf numFmtId="9" fontId="26" fillId="0" borderId="17" xfId="6" applyFont="1" applyBorder="1" applyAlignment="1">
      <alignment horizontal="center" vertical="center"/>
    </xf>
    <xf numFmtId="179" fontId="8" fillId="0" borderId="0" xfId="0" applyNumberFormat="1" applyFont="1" applyAlignment="1">
      <alignment horizontal="center" vertical="top"/>
    </xf>
    <xf numFmtId="169" fontId="1" fillId="2" borderId="17" xfId="0" applyNumberFormat="1" applyFont="1" applyFill="1" applyBorder="1"/>
    <xf numFmtId="169" fontId="1" fillId="2" borderId="17" xfId="0" applyNumberFormat="1" applyFont="1" applyFill="1" applyBorder="1" applyAlignment="1">
      <alignment horizontal="centerContinuous"/>
    </xf>
    <xf numFmtId="0" fontId="1" fillId="2" borderId="18" xfId="0" applyFont="1" applyFill="1" applyBorder="1"/>
    <xf numFmtId="0" fontId="2" fillId="0" borderId="0" xfId="0" applyFont="1" applyAlignment="1">
      <alignment horizontal="left" indent="1"/>
    </xf>
    <xf numFmtId="0" fontId="3" fillId="0" borderId="19" xfId="0" applyFont="1" applyBorder="1"/>
    <xf numFmtId="169" fontId="2" fillId="6" borderId="4" xfId="0" applyNumberFormat="1" applyFont="1" applyFill="1" applyBorder="1"/>
    <xf numFmtId="169" fontId="26" fillId="0" borderId="10" xfId="0" applyNumberFormat="1" applyFont="1" applyBorder="1"/>
    <xf numFmtId="169" fontId="26" fillId="0" borderId="4" xfId="0" applyNumberFormat="1" applyFont="1" applyBorder="1"/>
    <xf numFmtId="9" fontId="8" fillId="0" borderId="0" xfId="6" applyFont="1"/>
    <xf numFmtId="0" fontId="3" fillId="0" borderId="0" xfId="0" applyFont="1" applyAlignment="1">
      <alignment horizontal="center"/>
    </xf>
    <xf numFmtId="0" fontId="2" fillId="6" borderId="0" xfId="0" applyFont="1" applyFill="1"/>
    <xf numFmtId="181" fontId="4" fillId="0" borderId="0" xfId="0" applyNumberFormat="1" applyFont="1"/>
    <xf numFmtId="186" fontId="21" fillId="0" borderId="0" xfId="0" applyNumberFormat="1" applyFont="1" applyAlignment="1">
      <alignment horizontal="center"/>
    </xf>
    <xf numFmtId="10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0" fontId="4" fillId="0" borderId="0" xfId="5" applyNumberFormat="1" applyFont="1" applyFill="1" applyAlignment="1">
      <alignment horizontal="center"/>
    </xf>
    <xf numFmtId="10" fontId="21" fillId="0" borderId="0" xfId="0" applyNumberFormat="1" applyFont="1" applyAlignment="1">
      <alignment horizontal="center"/>
    </xf>
    <xf numFmtId="188" fontId="4" fillId="0" borderId="0" xfId="0" applyNumberFormat="1" applyFont="1" applyAlignment="1">
      <alignment horizontal="center"/>
    </xf>
    <xf numFmtId="2" fontId="32" fillId="5" borderId="7" xfId="0" applyNumberFormat="1" applyFont="1" applyFill="1" applyBorder="1" applyAlignment="1">
      <alignment horizontal="center" vertical="center"/>
    </xf>
    <xf numFmtId="2" fontId="32" fillId="0" borderId="0" xfId="0" applyNumberFormat="1" applyFont="1" applyAlignment="1">
      <alignment horizontal="center" vertical="center"/>
    </xf>
    <xf numFmtId="2" fontId="32" fillId="5" borderId="0" xfId="0" applyNumberFormat="1" applyFont="1" applyFill="1" applyAlignment="1">
      <alignment horizontal="center" vertical="center"/>
    </xf>
    <xf numFmtId="2" fontId="32" fillId="0" borderId="1" xfId="0" applyNumberFormat="1" applyFont="1" applyBorder="1" applyAlignment="1">
      <alignment horizontal="center" vertical="center"/>
    </xf>
    <xf numFmtId="175" fontId="31" fillId="0" borderId="0" xfId="0" applyNumberFormat="1" applyFont="1" applyAlignment="1">
      <alignment vertical="center"/>
    </xf>
    <xf numFmtId="175" fontId="31" fillId="0" borderId="1" xfId="0" applyNumberFormat="1" applyFont="1" applyBorder="1" applyAlignment="1">
      <alignment vertical="center"/>
    </xf>
    <xf numFmtId="174" fontId="31" fillId="0" borderId="1" xfId="0" applyNumberFormat="1" applyFont="1" applyBorder="1" applyAlignment="1">
      <alignment vertical="center"/>
    </xf>
    <xf numFmtId="176" fontId="32" fillId="5" borderId="10" xfId="0" applyNumberFormat="1" applyFont="1" applyFill="1" applyBorder="1" applyAlignment="1">
      <alignment horizontal="center" vertical="center"/>
    </xf>
    <xf numFmtId="176" fontId="32" fillId="0" borderId="4" xfId="0" applyNumberFormat="1" applyFont="1" applyBorder="1" applyAlignment="1">
      <alignment horizontal="center" vertical="center"/>
    </xf>
    <xf numFmtId="176" fontId="32" fillId="5" borderId="4" xfId="0" applyNumberFormat="1" applyFont="1" applyFill="1" applyBorder="1" applyAlignment="1">
      <alignment horizontal="center" vertical="center"/>
    </xf>
    <xf numFmtId="176" fontId="32" fillId="0" borderId="5" xfId="0" applyNumberFormat="1" applyFont="1" applyBorder="1" applyAlignment="1">
      <alignment horizontal="center" vertical="center"/>
    </xf>
    <xf numFmtId="190" fontId="4" fillId="0" borderId="0" xfId="4" applyNumberFormat="1" applyFont="1"/>
    <xf numFmtId="0" fontId="8" fillId="0" borderId="0" xfId="0" applyFont="1"/>
    <xf numFmtId="180" fontId="4" fillId="0" borderId="0" xfId="0" applyNumberFormat="1" applyFont="1"/>
    <xf numFmtId="2" fontId="8" fillId="0" borderId="0" xfId="0" applyNumberFormat="1" applyFont="1"/>
    <xf numFmtId="186" fontId="23" fillId="0" borderId="0" xfId="4" applyNumberFormat="1" applyFont="1"/>
    <xf numFmtId="0" fontId="8" fillId="0" borderId="1" xfId="4" applyFont="1" applyBorder="1"/>
    <xf numFmtId="0" fontId="23" fillId="0" borderId="0" xfId="0" applyFont="1"/>
    <xf numFmtId="180" fontId="13" fillId="0" borderId="0" xfId="0" applyNumberFormat="1" applyFont="1"/>
    <xf numFmtId="9" fontId="13" fillId="0" borderId="0" xfId="6" applyFont="1"/>
    <xf numFmtId="2" fontId="23" fillId="0" borderId="0" xfId="0" applyNumberFormat="1" applyFont="1"/>
    <xf numFmtId="0" fontId="13" fillId="0" borderId="0" xfId="4" applyFont="1"/>
    <xf numFmtId="9" fontId="4" fillId="0" borderId="0" xfId="4" applyNumberFormat="1" applyFont="1"/>
    <xf numFmtId="0" fontId="29" fillId="0" borderId="0" xfId="7" applyFill="1"/>
    <xf numFmtId="182" fontId="2" fillId="0" borderId="0" xfId="4" applyNumberFormat="1" applyFont="1"/>
    <xf numFmtId="185" fontId="4" fillId="0" borderId="0" xfId="2" applyNumberFormat="1" applyFont="1" applyAlignment="1">
      <alignment horizontal="right" vertical="top"/>
    </xf>
    <xf numFmtId="10" fontId="14" fillId="0" borderId="6" xfId="0" applyNumberFormat="1" applyFont="1" applyBorder="1"/>
    <xf numFmtId="3" fontId="4" fillId="0" borderId="1" xfId="4" applyNumberFormat="1" applyFont="1" applyBorder="1"/>
    <xf numFmtId="169" fontId="1" fillId="2" borderId="18" xfId="0" applyNumberFormat="1" applyFont="1" applyFill="1" applyBorder="1"/>
    <xf numFmtId="0" fontId="1" fillId="2" borderId="16" xfId="0" applyFont="1" applyFill="1" applyBorder="1" applyAlignment="1">
      <alignment horizontal="left"/>
    </xf>
    <xf numFmtId="169" fontId="1" fillId="2" borderId="18" xfId="0" applyNumberFormat="1" applyFont="1" applyFill="1" applyBorder="1" applyAlignment="1">
      <alignment horizontal="centerContinuous"/>
    </xf>
    <xf numFmtId="0" fontId="24" fillId="0" borderId="0" xfId="7" applyFont="1" applyFill="1"/>
    <xf numFmtId="0" fontId="37" fillId="0" borderId="0" xfId="7" applyFont="1" applyFill="1"/>
    <xf numFmtId="0" fontId="1" fillId="2" borderId="16" xfId="0" applyFont="1" applyFill="1" applyBorder="1" applyAlignment="1">
      <alignment horizontal="centerContinuous"/>
    </xf>
    <xf numFmtId="0" fontId="1" fillId="2" borderId="18" xfId="0" applyFont="1" applyFill="1" applyBorder="1" applyAlignment="1">
      <alignment horizontal="centerContinuous"/>
    </xf>
    <xf numFmtId="185" fontId="4" fillId="0" borderId="6" xfId="2" applyNumberFormat="1" applyFont="1" applyBorder="1" applyAlignment="1">
      <alignment horizontal="right" vertical="top"/>
    </xf>
    <xf numFmtId="181" fontId="3" fillId="0" borderId="6" xfId="0" quotePrefix="1" applyNumberFormat="1" applyFont="1" applyBorder="1"/>
    <xf numFmtId="3" fontId="2" fillId="0" borderId="0" xfId="0" applyNumberFormat="1" applyFont="1"/>
    <xf numFmtId="174" fontId="4" fillId="4" borderId="1" xfId="5" applyNumberFormat="1" applyFont="1" applyFill="1" applyBorder="1"/>
    <xf numFmtId="3" fontId="14" fillId="4" borderId="0" xfId="0" applyNumberFormat="1" applyFont="1" applyFill="1"/>
    <xf numFmtId="177" fontId="4" fillId="0" borderId="0" xfId="0" applyNumberFormat="1" applyFont="1"/>
    <xf numFmtId="0" fontId="40" fillId="0" borderId="0" xfId="7" applyFont="1"/>
    <xf numFmtId="177" fontId="14" fillId="0" borderId="0" xfId="0" applyNumberFormat="1" applyFont="1"/>
    <xf numFmtId="3" fontId="14" fillId="0" borderId="0" xfId="4" applyNumberFormat="1" applyFont="1"/>
    <xf numFmtId="9" fontId="32" fillId="0" borderId="0" xfId="6" applyFont="1"/>
    <xf numFmtId="9" fontId="32" fillId="0" borderId="7" xfId="6" applyFont="1" applyBorder="1"/>
    <xf numFmtId="9" fontId="31" fillId="0" borderId="7" xfId="6" applyFont="1" applyBorder="1"/>
    <xf numFmtId="191" fontId="41" fillId="0" borderId="0" xfId="0" applyNumberFormat="1" applyFont="1"/>
    <xf numFmtId="9" fontId="2" fillId="0" borderId="4" xfId="0" applyNumberFormat="1" applyFont="1" applyBorder="1"/>
    <xf numFmtId="3" fontId="2" fillId="0" borderId="0" xfId="4" applyNumberFormat="1" applyFont="1"/>
    <xf numFmtId="0" fontId="42" fillId="0" borderId="0" xfId="0" applyFont="1"/>
    <xf numFmtId="0" fontId="2" fillId="0" borderId="0" xfId="0" applyFont="1" applyAlignment="1">
      <alignment horizontal="center"/>
    </xf>
    <xf numFmtId="0" fontId="3" fillId="3" borderId="0" xfId="0" applyFont="1" applyFill="1"/>
    <xf numFmtId="169" fontId="3" fillId="3" borderId="0" xfId="0" applyNumberFormat="1" applyFont="1" applyFill="1"/>
    <xf numFmtId="169" fontId="3" fillId="3" borderId="6" xfId="0" applyNumberFormat="1" applyFont="1" applyFill="1" applyBorder="1"/>
    <xf numFmtId="43" fontId="2" fillId="0" borderId="0" xfId="2" applyFont="1"/>
    <xf numFmtId="1" fontId="2" fillId="0" borderId="0" xfId="0" applyNumberFormat="1" applyFont="1"/>
    <xf numFmtId="0" fontId="1" fillId="2" borderId="0" xfId="4" applyFont="1" applyFill="1"/>
    <xf numFmtId="0" fontId="1" fillId="2" borderId="0" xfId="4" applyFont="1" applyFill="1" applyAlignment="1">
      <alignment horizontal="center" wrapText="1"/>
    </xf>
    <xf numFmtId="0" fontId="1" fillId="2" borderId="0" xfId="4" applyFont="1" applyFill="1" applyAlignment="1">
      <alignment horizontal="center"/>
    </xf>
    <xf numFmtId="0" fontId="1" fillId="2" borderId="0" xfId="4" applyFont="1" applyFill="1" applyAlignment="1">
      <alignment horizontal="left"/>
    </xf>
    <xf numFmtId="0" fontId="1" fillId="0" borderId="0" xfId="4" applyFont="1" applyAlignment="1">
      <alignment horizontal="left"/>
    </xf>
    <xf numFmtId="168" fontId="1" fillId="2" borderId="26" xfId="0" applyNumberFormat="1" applyFont="1" applyFill="1" applyBorder="1" applyAlignment="1">
      <alignment horizontal="center"/>
    </xf>
    <xf numFmtId="0" fontId="1" fillId="2" borderId="6" xfId="0" applyFont="1" applyFill="1" applyBorder="1"/>
    <xf numFmtId="171" fontId="30" fillId="0" borderId="6" xfId="0" applyNumberFormat="1" applyFont="1" applyBorder="1"/>
    <xf numFmtId="169" fontId="32" fillId="0" borderId="27" xfId="0" applyNumberFormat="1" applyFont="1" applyBorder="1"/>
    <xf numFmtId="171" fontId="6" fillId="0" borderId="6" xfId="0" applyNumberFormat="1" applyFont="1" applyBorder="1"/>
    <xf numFmtId="169" fontId="32" fillId="0" borderId="6" xfId="0" applyNumberFormat="1" applyFont="1" applyBorder="1"/>
    <xf numFmtId="164" fontId="34" fillId="3" borderId="6" xfId="0" applyNumberFormat="1" applyFont="1" applyFill="1" applyBorder="1"/>
    <xf numFmtId="164" fontId="11" fillId="3" borderId="6" xfId="0" applyNumberFormat="1" applyFont="1" applyFill="1" applyBorder="1"/>
    <xf numFmtId="169" fontId="34" fillId="3" borderId="6" xfId="0" applyNumberFormat="1" applyFont="1" applyFill="1" applyBorder="1"/>
    <xf numFmtId="9" fontId="34" fillId="3" borderId="6" xfId="0" applyNumberFormat="1" applyFont="1" applyFill="1" applyBorder="1"/>
    <xf numFmtId="1" fontId="34" fillId="3" borderId="6" xfId="0" applyNumberFormat="1" applyFont="1" applyFill="1" applyBorder="1"/>
    <xf numFmtId="9" fontId="34" fillId="3" borderId="6" xfId="6" applyFont="1" applyFill="1" applyBorder="1"/>
    <xf numFmtId="37" fontId="31" fillId="0" borderId="6" xfId="0" applyNumberFormat="1" applyFont="1" applyBorder="1"/>
    <xf numFmtId="164" fontId="3" fillId="0" borderId="6" xfId="0" applyNumberFormat="1" applyFont="1" applyBorder="1"/>
    <xf numFmtId="169" fontId="32" fillId="0" borderId="22" xfId="0" applyNumberFormat="1" applyFont="1" applyBorder="1"/>
    <xf numFmtId="169" fontId="3" fillId="0" borderId="6" xfId="0" applyNumberFormat="1" applyFont="1" applyBorder="1"/>
    <xf numFmtId="164" fontId="31" fillId="0" borderId="28" xfId="0" applyNumberFormat="1" applyFont="1" applyBorder="1"/>
    <xf numFmtId="169" fontId="10" fillId="3" borderId="6" xfId="0" applyNumberFormat="1" applyFont="1" applyFill="1" applyBorder="1"/>
    <xf numFmtId="9" fontId="4" fillId="0" borderId="6" xfId="6" applyFont="1" applyBorder="1"/>
    <xf numFmtId="169" fontId="15" fillId="3" borderId="6" xfId="0" applyNumberFormat="1" applyFont="1" applyFill="1" applyBorder="1"/>
    <xf numFmtId="171" fontId="33" fillId="0" borderId="6" xfId="0" applyNumberFormat="1" applyFont="1" applyBorder="1"/>
    <xf numFmtId="171" fontId="31" fillId="0" borderId="6" xfId="0" applyNumberFormat="1" applyFont="1" applyBorder="1"/>
    <xf numFmtId="9" fontId="4" fillId="7" borderId="0" xfId="6" applyFont="1" applyFill="1" applyAlignment="1">
      <alignment horizontal="right"/>
    </xf>
    <xf numFmtId="0" fontId="2" fillId="5" borderId="7" xfId="4" applyFont="1" applyFill="1" applyBorder="1"/>
    <xf numFmtId="0" fontId="2" fillId="5" borderId="7" xfId="4" applyFont="1" applyFill="1" applyBorder="1" applyAlignment="1">
      <alignment horizontal="center" vertical="center"/>
    </xf>
    <xf numFmtId="176" fontId="32" fillId="5" borderId="7" xfId="4" applyNumberFormat="1" applyFont="1" applyFill="1" applyBorder="1" applyAlignment="1">
      <alignment horizontal="center" vertical="center"/>
    </xf>
    <xf numFmtId="176" fontId="32" fillId="5" borderId="10" xfId="4" applyNumberFormat="1" applyFont="1" applyFill="1" applyBorder="1" applyAlignment="1">
      <alignment horizontal="center" vertical="center"/>
    </xf>
    <xf numFmtId="0" fontId="2" fillId="0" borderId="0" xfId="4" applyFont="1" applyAlignment="1">
      <alignment horizontal="center" vertical="center"/>
    </xf>
    <xf numFmtId="176" fontId="32" fillId="0" borderId="0" xfId="4" applyNumberFormat="1" applyFont="1" applyAlignment="1">
      <alignment horizontal="center" vertical="center"/>
    </xf>
    <xf numFmtId="176" fontId="32" fillId="0" borderId="4" xfId="4" applyNumberFormat="1" applyFont="1" applyBorder="1" applyAlignment="1">
      <alignment horizontal="center" vertical="center"/>
    </xf>
    <xf numFmtId="0" fontId="2" fillId="5" borderId="0" xfId="4" applyFont="1" applyFill="1"/>
    <xf numFmtId="0" fontId="2" fillId="5" borderId="0" xfId="4" applyFont="1" applyFill="1" applyAlignment="1">
      <alignment horizontal="center" vertical="center"/>
    </xf>
    <xf numFmtId="176" fontId="32" fillId="5" borderId="0" xfId="4" applyNumberFormat="1" applyFont="1" applyFill="1" applyAlignment="1">
      <alignment horizontal="center" vertical="center"/>
    </xf>
    <xf numFmtId="176" fontId="32" fillId="5" borderId="4" xfId="4" applyNumberFormat="1" applyFont="1" applyFill="1" applyBorder="1" applyAlignment="1">
      <alignment horizontal="center" vertical="center"/>
    </xf>
    <xf numFmtId="0" fontId="2" fillId="0" borderId="1" xfId="4" applyFont="1" applyBorder="1" applyAlignment="1">
      <alignment horizontal="center" vertical="center"/>
    </xf>
    <xf numFmtId="176" fontId="32" fillId="0" borderId="1" xfId="4" applyNumberFormat="1" applyFont="1" applyBorder="1" applyAlignment="1">
      <alignment horizontal="center" vertical="center"/>
    </xf>
    <xf numFmtId="176" fontId="32" fillId="0" borderId="5" xfId="4" applyNumberFormat="1" applyFont="1" applyBorder="1" applyAlignment="1">
      <alignment horizontal="center" vertical="center"/>
    </xf>
    <xf numFmtId="0" fontId="3" fillId="0" borderId="0" xfId="4" applyFont="1" applyAlignment="1">
      <alignment horizontal="left"/>
    </xf>
    <xf numFmtId="0" fontId="2" fillId="0" borderId="17" xfId="4" applyFont="1" applyBorder="1" applyAlignment="1">
      <alignment horizontal="left" indent="1"/>
    </xf>
    <xf numFmtId="0" fontId="2" fillId="0" borderId="17" xfId="4" applyFont="1" applyBorder="1"/>
    <xf numFmtId="182" fontId="31" fillId="0" borderId="17" xfId="4" applyNumberFormat="1" applyFont="1" applyBorder="1"/>
    <xf numFmtId="0" fontId="3" fillId="0" borderId="0" xfId="4" applyFont="1" applyAlignment="1">
      <alignment horizontal="centerContinuous"/>
    </xf>
    <xf numFmtId="0" fontId="3" fillId="0" borderId="17" xfId="4" applyFont="1" applyBorder="1" applyAlignment="1">
      <alignment horizontal="center"/>
    </xf>
    <xf numFmtId="169" fontId="2" fillId="0" borderId="0" xfId="8" applyNumberFormat="1" applyFont="1"/>
    <xf numFmtId="169" fontId="3" fillId="0" borderId="0" xfId="8" applyNumberFormat="1" applyFont="1"/>
    <xf numFmtId="169" fontId="3" fillId="0" borderId="1" xfId="8" applyNumberFormat="1" applyFont="1" applyBorder="1"/>
    <xf numFmtId="169" fontId="8" fillId="0" borderId="0" xfId="10" applyNumberFormat="1" applyFont="1"/>
    <xf numFmtId="169" fontId="8" fillId="0" borderId="17" xfId="10" applyNumberFormat="1" applyFont="1" applyBorder="1"/>
    <xf numFmtId="169" fontId="2" fillId="0" borderId="0" xfId="10" applyNumberFormat="1" applyFont="1" applyAlignment="1">
      <alignment vertical="center"/>
    </xf>
    <xf numFmtId="169" fontId="1" fillId="2" borderId="16" xfId="0" applyNumberFormat="1" applyFont="1" applyFill="1" applyBorder="1"/>
    <xf numFmtId="169" fontId="2" fillId="2" borderId="17" xfId="0" applyNumberFormat="1" applyFont="1" applyFill="1" applyBorder="1"/>
    <xf numFmtId="169" fontId="2" fillId="2" borderId="18" xfId="0" applyNumberFormat="1" applyFont="1" applyFill="1" applyBorder="1"/>
    <xf numFmtId="169" fontId="2" fillId="0" borderId="0" xfId="10" applyNumberFormat="1" applyFont="1"/>
    <xf numFmtId="169" fontId="23" fillId="0" borderId="0" xfId="10" applyNumberFormat="1" applyFont="1"/>
    <xf numFmtId="169" fontId="23" fillId="0" borderId="1" xfId="10" applyNumberFormat="1" applyFont="1" applyBorder="1"/>
    <xf numFmtId="169" fontId="23" fillId="0" borderId="0" xfId="10" applyNumberFormat="1" applyFont="1" applyAlignment="1">
      <alignment horizontal="right"/>
    </xf>
    <xf numFmtId="169" fontId="23" fillId="0" borderId="1" xfId="10" applyNumberFormat="1" applyFont="1" applyBorder="1" applyAlignment="1">
      <alignment horizontal="right" vertical="center"/>
    </xf>
    <xf numFmtId="169" fontId="32" fillId="0" borderId="0" xfId="10" applyNumberFormat="1" applyFont="1" applyAlignment="1">
      <alignment vertical="center"/>
    </xf>
    <xf numFmtId="169" fontId="31" fillId="0" borderId="17" xfId="10" applyNumberFormat="1" applyFont="1" applyBorder="1" applyAlignment="1">
      <alignment horizontal="left"/>
    </xf>
    <xf numFmtId="169" fontId="23" fillId="0" borderId="17" xfId="10" applyNumberFormat="1" applyFont="1" applyBorder="1" applyAlignment="1">
      <alignment horizontal="center"/>
    </xf>
    <xf numFmtId="169" fontId="2" fillId="0" borderId="1" xfId="0" applyNumberFormat="1" applyFont="1" applyBorder="1"/>
    <xf numFmtId="169" fontId="31" fillId="0" borderId="0" xfId="10" applyNumberFormat="1" applyFont="1" applyAlignment="1">
      <alignment horizontal="left"/>
    </xf>
    <xf numFmtId="169" fontId="2" fillId="0" borderId="0" xfId="0" applyNumberFormat="1" applyFont="1" applyAlignment="1">
      <alignment vertical="center" wrapText="1"/>
    </xf>
    <xf numFmtId="169" fontId="31" fillId="0" borderId="0" xfId="10" applyNumberFormat="1" applyFont="1" applyAlignment="1">
      <alignment horizontal="right"/>
    </xf>
    <xf numFmtId="169" fontId="4" fillId="0" borderId="0" xfId="10" applyNumberFormat="1" applyFont="1" applyAlignment="1">
      <alignment horizontal="right"/>
    </xf>
    <xf numFmtId="169" fontId="4" fillId="0" borderId="0" xfId="10" applyNumberFormat="1" applyFont="1"/>
    <xf numFmtId="169" fontId="8" fillId="0" borderId="0" xfId="10" applyNumberFormat="1" applyFont="1" applyAlignment="1">
      <alignment horizontal="left"/>
    </xf>
    <xf numFmtId="169" fontId="14" fillId="0" borderId="0" xfId="10" applyNumberFormat="1" applyFont="1" applyAlignment="1">
      <alignment horizontal="right"/>
    </xf>
    <xf numFmtId="169" fontId="39" fillId="0" borderId="0" xfId="10" applyNumberFormat="1" applyFont="1" applyAlignment="1">
      <alignment horizontal="right"/>
    </xf>
    <xf numFmtId="169" fontId="32" fillId="0" borderId="7" xfId="10" applyNumberFormat="1" applyFont="1" applyBorder="1" applyAlignment="1">
      <alignment horizontal="right"/>
    </xf>
    <xf numFmtId="169" fontId="31" fillId="7" borderId="0" xfId="10" applyNumberFormat="1" applyFont="1" applyFill="1" applyAlignment="1">
      <alignment horizontal="right"/>
    </xf>
    <xf numFmtId="169" fontId="32" fillId="0" borderId="0" xfId="10" applyNumberFormat="1" applyFont="1" applyAlignment="1">
      <alignment horizontal="right"/>
    </xf>
    <xf numFmtId="169" fontId="14" fillId="0" borderId="0" xfId="10" applyNumberFormat="1" applyFont="1"/>
    <xf numFmtId="169" fontId="31" fillId="0" borderId="0" xfId="10" applyNumberFormat="1" applyFont="1"/>
    <xf numFmtId="169" fontId="2" fillId="0" borderId="0" xfId="10" applyNumberFormat="1" applyFont="1" applyAlignment="1">
      <alignment horizontal="left"/>
    </xf>
    <xf numFmtId="169" fontId="32" fillId="0" borderId="15" xfId="10" applyNumberFormat="1" applyFont="1" applyBorder="1" applyAlignment="1">
      <alignment horizontal="right" vertical="center"/>
    </xf>
    <xf numFmtId="169" fontId="32" fillId="7" borderId="0" xfId="10" applyNumberFormat="1" applyFont="1" applyFill="1" applyAlignment="1">
      <alignment horizontal="right" vertical="center"/>
    </xf>
    <xf numFmtId="169" fontId="32" fillId="0" borderId="0" xfId="10" applyNumberFormat="1" applyFont="1" applyAlignment="1">
      <alignment horizontal="right" vertical="center"/>
    </xf>
    <xf numFmtId="169" fontId="39" fillId="7" borderId="0" xfId="10" applyNumberFormat="1" applyFont="1" applyFill="1"/>
    <xf numFmtId="169" fontId="39" fillId="0" borderId="0" xfId="10" applyNumberFormat="1" applyFont="1"/>
    <xf numFmtId="169" fontId="2" fillId="0" borderId="1" xfId="10" applyNumberFormat="1" applyFont="1" applyBorder="1"/>
    <xf numFmtId="169" fontId="3" fillId="0" borderId="0" xfId="0" applyNumberFormat="1" applyFont="1" applyAlignment="1">
      <alignment vertical="center" wrapText="1"/>
    </xf>
    <xf numFmtId="169" fontId="32" fillId="0" borderId="0" xfId="10" applyNumberFormat="1" applyFont="1"/>
    <xf numFmtId="169" fontId="3" fillId="0" borderId="7" xfId="10" applyNumberFormat="1" applyFont="1" applyBorder="1"/>
    <xf numFmtId="169" fontId="32" fillId="0" borderId="7" xfId="10" applyNumberFormat="1" applyFont="1" applyBorder="1"/>
    <xf numFmtId="169" fontId="3" fillId="0" borderId="0" xfId="10" applyNumberFormat="1" applyFont="1"/>
    <xf numFmtId="169" fontId="32" fillId="0" borderId="24" xfId="10" applyNumberFormat="1" applyFont="1" applyBorder="1" applyAlignment="1">
      <alignment horizontal="right" vertical="center"/>
    </xf>
    <xf numFmtId="169" fontId="4" fillId="7" borderId="0" xfId="11" applyNumberFormat="1" applyFont="1" applyFill="1" applyAlignment="1">
      <alignment horizontal="right"/>
    </xf>
    <xf numFmtId="169" fontId="32" fillId="0" borderId="15" xfId="10" applyNumberFormat="1" applyFont="1" applyBorder="1"/>
    <xf numFmtId="169" fontId="32" fillId="0" borderId="15" xfId="10" applyNumberFormat="1" applyFont="1" applyBorder="1" applyAlignment="1">
      <alignment horizontal="right"/>
    </xf>
    <xf numFmtId="169" fontId="4" fillId="0" borderId="0" xfId="11" applyNumberFormat="1" applyFont="1" applyFill="1" applyBorder="1" applyAlignment="1">
      <alignment horizontal="right"/>
    </xf>
    <xf numFmtId="169" fontId="3" fillId="0" borderId="1" xfId="10" applyNumberFormat="1" applyFont="1" applyBorder="1"/>
    <xf numFmtId="169" fontId="3" fillId="0" borderId="15" xfId="10" applyNumberFormat="1" applyFont="1" applyBorder="1"/>
    <xf numFmtId="169" fontId="32" fillId="0" borderId="15" xfId="6" applyNumberFormat="1" applyFont="1" applyBorder="1"/>
    <xf numFmtId="0" fontId="4" fillId="3" borderId="0" xfId="0" applyFont="1" applyFill="1"/>
    <xf numFmtId="169" fontId="13" fillId="0" borderId="7" xfId="0" applyNumberFormat="1" applyFont="1" applyBorder="1"/>
    <xf numFmtId="3" fontId="32" fillId="0" borderId="7" xfId="0" applyNumberFormat="1" applyFont="1" applyBorder="1"/>
    <xf numFmtId="3" fontId="31" fillId="0" borderId="0" xfId="4" applyNumberFormat="1" applyFont="1"/>
    <xf numFmtId="2" fontId="31" fillId="0" borderId="0" xfId="0" applyNumberFormat="1" applyFont="1"/>
    <xf numFmtId="0" fontId="4" fillId="0" borderId="1" xfId="0" applyFont="1" applyBorder="1"/>
    <xf numFmtId="169" fontId="4" fillId="0" borderId="7" xfId="0" applyNumberFormat="1" applyFont="1" applyBorder="1"/>
    <xf numFmtId="1" fontId="32" fillId="0" borderId="17" xfId="0" applyNumberFormat="1" applyFont="1" applyBorder="1"/>
    <xf numFmtId="1" fontId="32" fillId="0" borderId="1" xfId="0" applyNumberFormat="1" applyFont="1" applyBorder="1"/>
    <xf numFmtId="2" fontId="31" fillId="0" borderId="0" xfId="6" applyNumberFormat="1" applyFont="1" applyBorder="1"/>
    <xf numFmtId="14" fontId="31" fillId="0" borderId="6" xfId="0" applyNumberFormat="1" applyFont="1" applyBorder="1"/>
    <xf numFmtId="14" fontId="31" fillId="0" borderId="0" xfId="0" applyNumberFormat="1" applyFont="1"/>
    <xf numFmtId="189" fontId="32" fillId="0" borderId="15" xfId="0" applyNumberFormat="1" applyFont="1" applyBorder="1"/>
    <xf numFmtId="10" fontId="32" fillId="0" borderId="8" xfId="0" applyNumberFormat="1" applyFont="1" applyBorder="1"/>
    <xf numFmtId="10" fontId="32" fillId="0" borderId="22" xfId="0" applyNumberFormat="1" applyFont="1" applyBorder="1"/>
    <xf numFmtId="164" fontId="31" fillId="0" borderId="0" xfId="0" applyNumberFormat="1" applyFont="1"/>
    <xf numFmtId="9" fontId="31" fillId="0" borderId="8" xfId="6" applyFont="1" applyBorder="1"/>
    <xf numFmtId="191" fontId="4" fillId="0" borderId="25" xfId="0" applyNumberFormat="1" applyFont="1" applyBorder="1"/>
    <xf numFmtId="191" fontId="4" fillId="0" borderId="20" xfId="0" applyNumberFormat="1" applyFont="1" applyBorder="1"/>
    <xf numFmtId="179" fontId="31" fillId="0" borderId="0" xfId="0" applyNumberFormat="1" applyFont="1" applyAlignment="1">
      <alignment horizontal="center" vertical="top"/>
    </xf>
    <xf numFmtId="181" fontId="32" fillId="0" borderId="11" xfId="0" applyNumberFormat="1" applyFont="1" applyBorder="1"/>
    <xf numFmtId="181" fontId="32" fillId="0" borderId="1" xfId="0" applyNumberFormat="1" applyFont="1" applyBorder="1"/>
    <xf numFmtId="0" fontId="2" fillId="0" borderId="7" xfId="0" applyFont="1" applyBorder="1" applyAlignment="1">
      <alignment horizontal="left" indent="1"/>
    </xf>
    <xf numFmtId="0" fontId="2" fillId="6" borderId="7" xfId="0" applyFont="1" applyFill="1" applyBorder="1"/>
    <xf numFmtId="181" fontId="4" fillId="0" borderId="7" xfId="0" applyNumberFormat="1" applyFont="1" applyBorder="1"/>
    <xf numFmtId="186" fontId="21" fillId="0" borderId="7" xfId="0" applyNumberFormat="1" applyFont="1" applyBorder="1" applyAlignment="1">
      <alignment horizontal="center"/>
    </xf>
    <xf numFmtId="10" fontId="4" fillId="0" borderId="7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10" fontId="4" fillId="0" borderId="7" xfId="5" applyNumberFormat="1" applyFont="1" applyFill="1" applyBorder="1" applyAlignment="1">
      <alignment horizontal="center"/>
    </xf>
    <xf numFmtId="10" fontId="22" fillId="0" borderId="0" xfId="0" applyNumberFormat="1" applyFont="1" applyAlignment="1">
      <alignment horizontal="center"/>
    </xf>
    <xf numFmtId="0" fontId="14" fillId="0" borderId="0" xfId="0" applyFont="1" applyAlignment="1">
      <alignment horizontal="center"/>
    </xf>
    <xf numFmtId="10" fontId="4" fillId="0" borderId="0" xfId="5" applyNumberFormat="1" applyFont="1" applyFill="1" applyBorder="1" applyAlignment="1">
      <alignment horizontal="center"/>
    </xf>
    <xf numFmtId="10" fontId="4" fillId="0" borderId="7" xfId="0" applyNumberFormat="1" applyFont="1" applyBorder="1"/>
    <xf numFmtId="10" fontId="14" fillId="0" borderId="7" xfId="0" applyNumberFormat="1" applyFont="1" applyBorder="1"/>
    <xf numFmtId="183" fontId="4" fillId="0" borderId="7" xfId="0" applyNumberFormat="1" applyFont="1" applyBorder="1"/>
    <xf numFmtId="184" fontId="31" fillId="0" borderId="7" xfId="0" applyNumberFormat="1" applyFont="1" applyBorder="1"/>
    <xf numFmtId="169" fontId="8" fillId="0" borderId="0" xfId="10" applyNumberFormat="1" applyFont="1" applyAlignment="1">
      <alignment horizontal="right"/>
    </xf>
    <xf numFmtId="0" fontId="2" fillId="0" borderId="1" xfId="4" applyFont="1" applyBorder="1" applyAlignment="1">
      <alignment horizontal="center"/>
    </xf>
    <xf numFmtId="9" fontId="8" fillId="7" borderId="0" xfId="6" applyFont="1" applyFill="1" applyAlignment="1">
      <alignment horizontal="right"/>
    </xf>
    <xf numFmtId="9" fontId="31" fillId="7" borderId="0" xfId="6" applyFont="1" applyFill="1" applyAlignment="1">
      <alignment horizontal="right"/>
    </xf>
    <xf numFmtId="169" fontId="3" fillId="0" borderId="1" xfId="0" applyNumberFormat="1" applyFont="1" applyBorder="1"/>
    <xf numFmtId="169" fontId="1" fillId="2" borderId="0" xfId="0" applyNumberFormat="1" applyFont="1" applyFill="1"/>
    <xf numFmtId="169" fontId="3" fillId="8" borderId="0" xfId="0" applyNumberFormat="1" applyFont="1" applyFill="1"/>
    <xf numFmtId="169" fontId="3" fillId="0" borderId="17" xfId="0" applyNumberFormat="1" applyFont="1" applyBorder="1"/>
    <xf numFmtId="169" fontId="3" fillId="0" borderId="17" xfId="0" applyNumberFormat="1" applyFont="1" applyBorder="1" applyAlignment="1">
      <alignment horizontal="center"/>
    </xf>
    <xf numFmtId="169" fontId="3" fillId="8" borderId="0" xfId="0" applyNumberFormat="1" applyFont="1" applyFill="1" applyAlignment="1">
      <alignment horizontal="center"/>
    </xf>
    <xf numFmtId="169" fontId="3" fillId="0" borderId="29" xfId="0" applyNumberFormat="1" applyFont="1" applyBorder="1" applyAlignment="1">
      <alignment horizontal="centerContinuous"/>
    </xf>
    <xf numFmtId="169" fontId="3" fillId="0" borderId="30" xfId="0" applyNumberFormat="1" applyFont="1" applyBorder="1" applyAlignment="1">
      <alignment horizontal="centerContinuous"/>
    </xf>
    <xf numFmtId="169" fontId="3" fillId="0" borderId="31" xfId="0" applyNumberFormat="1" applyFont="1" applyBorder="1" applyAlignment="1">
      <alignment horizontal="centerContinuous"/>
    </xf>
    <xf numFmtId="169" fontId="3" fillId="0" borderId="1" xfId="0" applyNumberFormat="1" applyFont="1" applyBorder="1" applyAlignment="1">
      <alignment horizontal="center"/>
    </xf>
    <xf numFmtId="10" fontId="14" fillId="0" borderId="0" xfId="0" applyNumberFormat="1" applyFont="1"/>
    <xf numFmtId="10" fontId="4" fillId="0" borderId="0" xfId="6" applyNumberFormat="1" applyFont="1" applyBorder="1"/>
    <xf numFmtId="10" fontId="31" fillId="0" borderId="0" xfId="6" applyNumberFormat="1" applyFont="1" applyBorder="1"/>
    <xf numFmtId="10" fontId="32" fillId="0" borderId="7" xfId="0" applyNumberFormat="1" applyFont="1" applyBorder="1"/>
    <xf numFmtId="10" fontId="32" fillId="0" borderId="15" xfId="0" applyNumberFormat="1" applyFont="1" applyBorder="1"/>
    <xf numFmtId="2" fontId="14" fillId="0" borderId="0" xfId="0" applyNumberFormat="1" applyFont="1"/>
    <xf numFmtId="10" fontId="26" fillId="0" borderId="7" xfId="6" applyNumberFormat="1" applyFont="1" applyBorder="1"/>
    <xf numFmtId="10" fontId="2" fillId="0" borderId="8" xfId="0" applyNumberFormat="1" applyFont="1" applyBorder="1"/>
    <xf numFmtId="10" fontId="23" fillId="0" borderId="7" xfId="6" applyNumberFormat="1" applyFont="1" applyBorder="1"/>
    <xf numFmtId="10" fontId="8" fillId="0" borderId="0" xfId="0" applyNumberFormat="1" applyFont="1"/>
    <xf numFmtId="10" fontId="23" fillId="0" borderId="8" xfId="6" applyNumberFormat="1" applyFont="1" applyBorder="1"/>
    <xf numFmtId="10" fontId="8" fillId="0" borderId="6" xfId="0" applyNumberFormat="1" applyFont="1" applyBorder="1"/>
    <xf numFmtId="169" fontId="8" fillId="0" borderId="6" xfId="0" applyNumberFormat="1" applyFont="1" applyBorder="1"/>
    <xf numFmtId="10" fontId="8" fillId="0" borderId="0" xfId="6" applyNumberFormat="1" applyFont="1" applyBorder="1"/>
    <xf numFmtId="10" fontId="8" fillId="0" borderId="6" xfId="6" applyNumberFormat="1" applyFont="1" applyBorder="1"/>
    <xf numFmtId="2" fontId="8" fillId="0" borderId="6" xfId="0" applyNumberFormat="1" applyFont="1" applyBorder="1"/>
    <xf numFmtId="10" fontId="2" fillId="0" borderId="7" xfId="0" applyNumberFormat="1" applyFont="1" applyBorder="1"/>
    <xf numFmtId="10" fontId="13" fillId="0" borderId="7" xfId="0" applyNumberFormat="1" applyFont="1" applyBorder="1"/>
    <xf numFmtId="177" fontId="2" fillId="0" borderId="0" xfId="6" applyNumberFormat="1" applyFont="1"/>
    <xf numFmtId="10" fontId="2" fillId="0" borderId="0" xfId="6" applyNumberFormat="1" applyFont="1"/>
    <xf numFmtId="0" fontId="3" fillId="0" borderId="6" xfId="0" applyFont="1" applyBorder="1" applyAlignment="1">
      <alignment horizontal="center"/>
    </xf>
    <xf numFmtId="169" fontId="1" fillId="2" borderId="17" xfId="0" applyNumberFormat="1" applyFont="1" applyFill="1" applyBorder="1" applyAlignment="1">
      <alignment horizontal="center"/>
    </xf>
    <xf numFmtId="169" fontId="1" fillId="2" borderId="18" xfId="0" applyNumberFormat="1" applyFont="1" applyFill="1" applyBorder="1" applyAlignment="1">
      <alignment horizontal="center"/>
    </xf>
    <xf numFmtId="169" fontId="1" fillId="0" borderId="0" xfId="0" applyNumberFormat="1" applyFont="1"/>
    <xf numFmtId="181" fontId="2" fillId="0" borderId="0" xfId="4" applyNumberFormat="1" applyFont="1"/>
    <xf numFmtId="169" fontId="2" fillId="0" borderId="0" xfId="0" applyNumberFormat="1" applyFont="1" applyAlignment="1">
      <alignment horizontal="center"/>
    </xf>
    <xf numFmtId="169" fontId="14" fillId="0" borderId="8" xfId="0" applyNumberFormat="1" applyFont="1" applyBorder="1" applyAlignment="1">
      <alignment horizontal="center"/>
    </xf>
    <xf numFmtId="169" fontId="14" fillId="0" borderId="7" xfId="0" applyNumberFormat="1" applyFont="1" applyBorder="1" applyAlignment="1">
      <alignment horizontal="center"/>
    </xf>
    <xf numFmtId="169" fontId="14" fillId="0" borderId="10" xfId="0" applyNumberFormat="1" applyFont="1" applyBorder="1" applyAlignment="1">
      <alignment horizontal="center"/>
    </xf>
    <xf numFmtId="169" fontId="14" fillId="0" borderId="11" xfId="0" applyNumberFormat="1" applyFont="1" applyBorder="1" applyAlignment="1">
      <alignment horizontal="center"/>
    </xf>
    <xf numFmtId="169" fontId="14" fillId="0" borderId="1" xfId="0" applyNumberFormat="1" applyFont="1" applyBorder="1" applyAlignment="1">
      <alignment horizontal="center"/>
    </xf>
    <xf numFmtId="169" fontId="14" fillId="0" borderId="5" xfId="0" applyNumberFormat="1" applyFont="1" applyBorder="1" applyAlignment="1">
      <alignment horizontal="center"/>
    </xf>
    <xf numFmtId="180" fontId="14" fillId="0" borderId="0" xfId="0" applyNumberFormat="1" applyFont="1" applyAlignment="1">
      <alignment horizontal="distributed"/>
    </xf>
    <xf numFmtId="177" fontId="14" fillId="0" borderId="0" xfId="6" applyNumberFormat="1" applyFont="1" applyAlignment="1">
      <alignment horizontal="distributed"/>
    </xf>
    <xf numFmtId="169" fontId="32" fillId="0" borderId="0" xfId="10" applyNumberFormat="1" applyFont="1" applyAlignment="1">
      <alignment horizontal="center" vertical="center"/>
    </xf>
    <xf numFmtId="169" fontId="32" fillId="0" borderId="1" xfId="10" applyNumberFormat="1" applyFont="1" applyBorder="1" applyAlignment="1">
      <alignment horizontal="center" vertical="center"/>
    </xf>
  </cellXfs>
  <cellStyles count="12">
    <cellStyle name="Comma" xfId="2" builtinId="3"/>
    <cellStyle name="Comma 2" xfId="3" xr:uid="{821CCF60-6203-48BD-8CC5-02910414489E}"/>
    <cellStyle name="Comma 3" xfId="9" xr:uid="{BE700D16-E942-4117-B2FB-8AE0814B96AF}"/>
    <cellStyle name="Hyperlink" xfId="7" builtinId="8"/>
    <cellStyle name="Invisible" xfId="1" xr:uid="{635330BC-706C-4E0A-9EC1-84397BA80B9B}"/>
    <cellStyle name="Normal" xfId="0" builtinId="0"/>
    <cellStyle name="Normal 2" xfId="4" xr:uid="{3354B644-AC48-421E-8A33-8DCAEA51E07E}"/>
    <cellStyle name="Normal 2 2 2" xfId="10" xr:uid="{8564FE2C-7D76-4F3A-A1D6-E49154DCF534}"/>
    <cellStyle name="Normal 3" xfId="8" xr:uid="{356CF12A-8CDE-47B2-A5CF-F5D2761A3519}"/>
    <cellStyle name="Percent" xfId="6" builtinId="5"/>
    <cellStyle name="Percent 2" xfId="5" xr:uid="{122615E3-EB54-4AD9-A023-461189A8E2B9}"/>
    <cellStyle name="Percent 2 2" xfId="11" xr:uid="{F8841DE5-F990-4AEC-8635-7EA536AD3891}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008000"/>
      <color rgb="FF104861"/>
      <color rgb="FF0000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Tullow</a:t>
            </a:r>
            <a:r>
              <a:rPr lang="en-US" baseline="0"/>
              <a:t> Oil </a:t>
            </a:r>
            <a:r>
              <a:rPr lang="en-US"/>
              <a:t>Football Field Summary</a:t>
            </a:r>
          </a:p>
          <a:p>
            <a:pPr>
              <a:defRPr/>
            </a:pPr>
            <a:r>
              <a:rPr lang="en-US" sz="1200"/>
              <a:t>($mm)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'Valuation Summary'!$D$44</c:f>
              <c:strCache>
                <c:ptCount val="1"/>
                <c:pt idx="0">
                  <c:v>Low (bar)</c:v>
                </c:pt>
              </c:strCache>
            </c:strRef>
          </c:tx>
          <c:spPr>
            <a:solidFill>
              <a:sysClr val="window" lastClr="FFFFFF"/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strRef>
              <c:f>'Valuation Summary'!$C$45:$C$48</c:f>
              <c:strCache>
                <c:ptCount val="4"/>
                <c:pt idx="0">
                  <c:v>Liquidation Valuation</c:v>
                </c:pt>
                <c:pt idx="1">
                  <c:v>Discounted Cash Flow</c:v>
                </c:pt>
                <c:pt idx="2">
                  <c:v>Precedent Transactions</c:v>
                </c:pt>
                <c:pt idx="3">
                  <c:v>Trading Comps</c:v>
                </c:pt>
              </c:strCache>
            </c:strRef>
          </c:cat>
          <c:val>
            <c:numRef>
              <c:f>'Valuation Summary'!$D$45:$D$48</c:f>
              <c:numCache>
                <c:formatCode>#,##0;\(#,##0\);"--"</c:formatCode>
                <c:ptCount val="4"/>
                <c:pt idx="0">
                  <c:v>633.48</c:v>
                </c:pt>
                <c:pt idx="1">
                  <c:v>2288.2377410431213</c:v>
                </c:pt>
                <c:pt idx="2">
                  <c:v>1232.813312177708</c:v>
                </c:pt>
                <c:pt idx="3">
                  <c:v>2433.4560782999997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89-48D7-BAA2-EEAC5F5B52C0}"/>
            </c:ext>
          </c:extLst>
        </c:ser>
        <c:ser>
          <c:idx val="1"/>
          <c:order val="1"/>
          <c:tx>
            <c:strRef>
              <c:f>'Valuation Summary'!$E$44</c:f>
              <c:strCache>
                <c:ptCount val="1"/>
                <c:pt idx="0">
                  <c:v>Lo (Label)</c:v>
                </c:pt>
              </c:strCache>
            </c:strRef>
          </c:tx>
          <c:spPr>
            <a:solidFill>
              <a:srgbClr val="104861"/>
            </a:solidFill>
            <a:ln>
              <a:noFill/>
            </a:ln>
            <a:effectLst/>
          </c:spPr>
          <c:invertIfNegative val="0"/>
          <c:cat>
            <c:strRef>
              <c:f>'Valuation Summary'!$C$45:$C$48</c:f>
              <c:strCache>
                <c:ptCount val="4"/>
                <c:pt idx="0">
                  <c:v>Liquidation Valuation</c:v>
                </c:pt>
                <c:pt idx="1">
                  <c:v>Discounted Cash Flow</c:v>
                </c:pt>
                <c:pt idx="2">
                  <c:v>Precedent Transactions</c:v>
                </c:pt>
                <c:pt idx="3">
                  <c:v>Trading Comps</c:v>
                </c:pt>
              </c:strCache>
            </c:strRef>
          </c:cat>
          <c:val>
            <c:numRef>
              <c:f>'Valuation Summary'!$E$45:$E$48</c:f>
              <c:numCache>
                <c:formatCode>#,##0;\(#,##0\);"--"</c:formatCode>
                <c:ptCount val="4"/>
                <c:pt idx="0">
                  <c:v>633.48</c:v>
                </c:pt>
                <c:pt idx="1">
                  <c:v>2288.2377410431213</c:v>
                </c:pt>
                <c:pt idx="2">
                  <c:v>1232.813312177708</c:v>
                </c:pt>
                <c:pt idx="3">
                  <c:v>2433.4560782999997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89-48D7-BAA2-EEAC5F5B52C0}"/>
            </c:ext>
          </c:extLst>
        </c:ser>
        <c:ser>
          <c:idx val="2"/>
          <c:order val="2"/>
          <c:tx>
            <c:strRef>
              <c:f>'Valuation Summary'!$F$44</c:f>
              <c:strCache>
                <c:ptCount val="1"/>
                <c:pt idx="0">
                  <c:v>High (Bar)</c:v>
                </c:pt>
              </c:strCache>
            </c:strRef>
          </c:tx>
          <c:spPr>
            <a:solidFill>
              <a:sysClr val="window" lastClr="FFFFFF"/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strRef>
              <c:f>'Valuation Summary'!$C$45:$C$48</c:f>
              <c:strCache>
                <c:ptCount val="4"/>
                <c:pt idx="0">
                  <c:v>Liquidation Valuation</c:v>
                </c:pt>
                <c:pt idx="1">
                  <c:v>Discounted Cash Flow</c:v>
                </c:pt>
                <c:pt idx="2">
                  <c:v>Precedent Transactions</c:v>
                </c:pt>
                <c:pt idx="3">
                  <c:v>Trading Comps</c:v>
                </c:pt>
              </c:strCache>
            </c:strRef>
          </c:cat>
          <c:val>
            <c:numRef>
              <c:f>'Valuation Summary'!$F$45:$F$48</c:f>
              <c:numCache>
                <c:formatCode>#,##0;\(#,##0\);"--"</c:formatCode>
                <c:ptCount val="4"/>
                <c:pt idx="0">
                  <c:v>1431.9554535812767</c:v>
                </c:pt>
                <c:pt idx="1">
                  <c:v>2809.9751179873829</c:v>
                </c:pt>
                <c:pt idx="2">
                  <c:v>2592.4636573582538</c:v>
                </c:pt>
                <c:pt idx="3">
                  <c:v>5051.0745908999997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89-48D7-BAA2-EEAC5F5B52C0}"/>
            </c:ext>
          </c:extLst>
        </c:ser>
        <c:ser>
          <c:idx val="3"/>
          <c:order val="3"/>
          <c:tx>
            <c:strRef>
              <c:f>'Valuation Summary'!$G$44</c:f>
              <c:strCache>
                <c:ptCount val="1"/>
                <c:pt idx="0">
                  <c:v>High (Label)</c:v>
                </c:pt>
              </c:strCache>
            </c:strRef>
          </c:tx>
          <c:spPr>
            <a:solidFill>
              <a:sysClr val="window" lastClr="FFFFFF"/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strRef>
              <c:f>'Valuation Summary'!$C$45:$C$48</c:f>
              <c:strCache>
                <c:ptCount val="4"/>
                <c:pt idx="0">
                  <c:v>Liquidation Valuation</c:v>
                </c:pt>
                <c:pt idx="1">
                  <c:v>Discounted Cash Flow</c:v>
                </c:pt>
                <c:pt idx="2">
                  <c:v>Precedent Transactions</c:v>
                </c:pt>
                <c:pt idx="3">
                  <c:v>Trading Comps</c:v>
                </c:pt>
              </c:strCache>
            </c:strRef>
          </c:cat>
          <c:val>
            <c:numRef>
              <c:f>'Valuation Summary'!$G$45:$G$48</c:f>
              <c:numCache>
                <c:formatCode>#,##0;\(#,##0\);"--"</c:formatCode>
                <c:ptCount val="4"/>
                <c:pt idx="0">
                  <c:v>1431.9554535812767</c:v>
                </c:pt>
                <c:pt idx="1">
                  <c:v>2809.9751179873829</c:v>
                </c:pt>
                <c:pt idx="2">
                  <c:v>2592.4636573582538</c:v>
                </c:pt>
                <c:pt idx="3">
                  <c:v>5051.0745908999997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389-48D7-BAA2-EEAC5F5B52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43269695"/>
        <c:axId val="1343286495"/>
      </c:barChart>
      <c:catAx>
        <c:axId val="13432696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43286495"/>
        <c:crosses val="autoZero"/>
        <c:auto val="1"/>
        <c:lblAlgn val="ctr"/>
        <c:lblOffset val="100"/>
        <c:noMultiLvlLbl val="0"/>
      </c:catAx>
      <c:valAx>
        <c:axId val="1343286495"/>
        <c:scaling>
          <c:orientation val="minMax"/>
          <c:max val="6000"/>
        </c:scaling>
        <c:delete val="0"/>
        <c:axPos val="b"/>
        <c:numFmt formatCode="#,##0;\(#,##0\);&quot;--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43269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Forward SOFR Rates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'SOFR Forward Rate Curve'!$D$4</c:f>
              <c:strCache>
                <c:ptCount val="1"/>
                <c:pt idx="0">
                  <c:v>1-month Term SOFR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'SOFR Forward Rate Curve'!$C$5:$C$124</c:f>
              <c:numCache>
                <c:formatCode>m/d/yyyy</c:formatCode>
                <c:ptCount val="120"/>
                <c:pt idx="0">
                  <c:v>45939</c:v>
                </c:pt>
                <c:pt idx="1">
                  <c:v>45971</c:v>
                </c:pt>
                <c:pt idx="2">
                  <c:v>46000</c:v>
                </c:pt>
                <c:pt idx="3">
                  <c:v>46031</c:v>
                </c:pt>
                <c:pt idx="4">
                  <c:v>46062</c:v>
                </c:pt>
                <c:pt idx="5">
                  <c:v>46090</c:v>
                </c:pt>
                <c:pt idx="6">
                  <c:v>46121</c:v>
                </c:pt>
                <c:pt idx="7">
                  <c:v>46153</c:v>
                </c:pt>
                <c:pt idx="8">
                  <c:v>46182</c:v>
                </c:pt>
                <c:pt idx="9">
                  <c:v>46212</c:v>
                </c:pt>
                <c:pt idx="10">
                  <c:v>46244</c:v>
                </c:pt>
                <c:pt idx="11">
                  <c:v>46274</c:v>
                </c:pt>
                <c:pt idx="12">
                  <c:v>46304</c:v>
                </c:pt>
                <c:pt idx="13">
                  <c:v>46335</c:v>
                </c:pt>
                <c:pt idx="14">
                  <c:v>46365</c:v>
                </c:pt>
                <c:pt idx="15">
                  <c:v>46398</c:v>
                </c:pt>
                <c:pt idx="16">
                  <c:v>46427</c:v>
                </c:pt>
                <c:pt idx="17">
                  <c:v>46455</c:v>
                </c:pt>
                <c:pt idx="18">
                  <c:v>46486</c:v>
                </c:pt>
                <c:pt idx="19">
                  <c:v>46517</c:v>
                </c:pt>
                <c:pt idx="20">
                  <c:v>46547</c:v>
                </c:pt>
                <c:pt idx="21">
                  <c:v>46577</c:v>
                </c:pt>
                <c:pt idx="22">
                  <c:v>46608</c:v>
                </c:pt>
                <c:pt idx="23">
                  <c:v>46639</c:v>
                </c:pt>
                <c:pt idx="24">
                  <c:v>46672</c:v>
                </c:pt>
                <c:pt idx="25">
                  <c:v>46700</c:v>
                </c:pt>
                <c:pt idx="26">
                  <c:v>46730</c:v>
                </c:pt>
                <c:pt idx="27">
                  <c:v>46762</c:v>
                </c:pt>
                <c:pt idx="28">
                  <c:v>46792</c:v>
                </c:pt>
                <c:pt idx="29">
                  <c:v>46821</c:v>
                </c:pt>
                <c:pt idx="30">
                  <c:v>46853</c:v>
                </c:pt>
                <c:pt idx="31">
                  <c:v>46882</c:v>
                </c:pt>
                <c:pt idx="32">
                  <c:v>46913</c:v>
                </c:pt>
                <c:pt idx="33">
                  <c:v>46944</c:v>
                </c:pt>
                <c:pt idx="34">
                  <c:v>46974</c:v>
                </c:pt>
                <c:pt idx="35">
                  <c:v>47007</c:v>
                </c:pt>
                <c:pt idx="36">
                  <c:v>47036</c:v>
                </c:pt>
                <c:pt idx="37">
                  <c:v>47066</c:v>
                </c:pt>
                <c:pt idx="38">
                  <c:v>47098</c:v>
                </c:pt>
                <c:pt idx="39">
                  <c:v>47127</c:v>
                </c:pt>
                <c:pt idx="40">
                  <c:v>47158</c:v>
                </c:pt>
                <c:pt idx="41">
                  <c:v>47186</c:v>
                </c:pt>
                <c:pt idx="42">
                  <c:v>47217</c:v>
                </c:pt>
                <c:pt idx="43">
                  <c:v>47247</c:v>
                </c:pt>
                <c:pt idx="44">
                  <c:v>47280</c:v>
                </c:pt>
                <c:pt idx="45">
                  <c:v>47308</c:v>
                </c:pt>
                <c:pt idx="46">
                  <c:v>47339</c:v>
                </c:pt>
                <c:pt idx="47">
                  <c:v>47371</c:v>
                </c:pt>
                <c:pt idx="48">
                  <c:v>47400</c:v>
                </c:pt>
                <c:pt idx="49">
                  <c:v>47431</c:v>
                </c:pt>
                <c:pt idx="50">
                  <c:v>47462</c:v>
                </c:pt>
                <c:pt idx="51">
                  <c:v>47492</c:v>
                </c:pt>
                <c:pt idx="52">
                  <c:v>47525</c:v>
                </c:pt>
                <c:pt idx="53">
                  <c:v>47553</c:v>
                </c:pt>
                <c:pt idx="54">
                  <c:v>47582</c:v>
                </c:pt>
                <c:pt idx="55">
                  <c:v>47612</c:v>
                </c:pt>
                <c:pt idx="56">
                  <c:v>47644</c:v>
                </c:pt>
                <c:pt idx="57">
                  <c:v>47673</c:v>
                </c:pt>
                <c:pt idx="58">
                  <c:v>47704</c:v>
                </c:pt>
                <c:pt idx="59">
                  <c:v>47735</c:v>
                </c:pt>
                <c:pt idx="60">
                  <c:v>47765</c:v>
                </c:pt>
                <c:pt idx="61">
                  <c:v>47799</c:v>
                </c:pt>
                <c:pt idx="62">
                  <c:v>47826</c:v>
                </c:pt>
                <c:pt idx="63">
                  <c:v>47857</c:v>
                </c:pt>
                <c:pt idx="64">
                  <c:v>47889</c:v>
                </c:pt>
                <c:pt idx="65">
                  <c:v>47917</c:v>
                </c:pt>
                <c:pt idx="66">
                  <c:v>47947</c:v>
                </c:pt>
                <c:pt idx="67">
                  <c:v>47977</c:v>
                </c:pt>
                <c:pt idx="68">
                  <c:v>48008</c:v>
                </c:pt>
                <c:pt idx="69">
                  <c:v>48038</c:v>
                </c:pt>
                <c:pt idx="70">
                  <c:v>48071</c:v>
                </c:pt>
                <c:pt idx="71">
                  <c:v>48100</c:v>
                </c:pt>
                <c:pt idx="72">
                  <c:v>48130</c:v>
                </c:pt>
                <c:pt idx="73">
                  <c:v>48162</c:v>
                </c:pt>
                <c:pt idx="74">
                  <c:v>48191</c:v>
                </c:pt>
                <c:pt idx="75">
                  <c:v>48222</c:v>
                </c:pt>
                <c:pt idx="76">
                  <c:v>48253</c:v>
                </c:pt>
                <c:pt idx="77">
                  <c:v>48282</c:v>
                </c:pt>
                <c:pt idx="78">
                  <c:v>48313</c:v>
                </c:pt>
                <c:pt idx="79">
                  <c:v>48344</c:v>
                </c:pt>
                <c:pt idx="80">
                  <c:v>48374</c:v>
                </c:pt>
                <c:pt idx="81">
                  <c:v>48404</c:v>
                </c:pt>
                <c:pt idx="82">
                  <c:v>48435</c:v>
                </c:pt>
                <c:pt idx="83">
                  <c:v>48466</c:v>
                </c:pt>
                <c:pt idx="84">
                  <c:v>48499</c:v>
                </c:pt>
                <c:pt idx="85">
                  <c:v>48527</c:v>
                </c:pt>
                <c:pt idx="86">
                  <c:v>48557</c:v>
                </c:pt>
                <c:pt idx="87">
                  <c:v>48589</c:v>
                </c:pt>
                <c:pt idx="88">
                  <c:v>48619</c:v>
                </c:pt>
                <c:pt idx="89">
                  <c:v>48647</c:v>
                </c:pt>
                <c:pt idx="90">
                  <c:v>48680</c:v>
                </c:pt>
                <c:pt idx="91">
                  <c:v>48708</c:v>
                </c:pt>
                <c:pt idx="92">
                  <c:v>48739</c:v>
                </c:pt>
                <c:pt idx="93">
                  <c:v>48771</c:v>
                </c:pt>
                <c:pt idx="94">
                  <c:v>48800</c:v>
                </c:pt>
                <c:pt idx="95">
                  <c:v>48831</c:v>
                </c:pt>
                <c:pt idx="96">
                  <c:v>48863</c:v>
                </c:pt>
                <c:pt idx="97">
                  <c:v>48892</c:v>
                </c:pt>
                <c:pt idx="98">
                  <c:v>48922</c:v>
                </c:pt>
                <c:pt idx="99">
                  <c:v>48953</c:v>
                </c:pt>
                <c:pt idx="100">
                  <c:v>48984</c:v>
                </c:pt>
                <c:pt idx="101">
                  <c:v>49012</c:v>
                </c:pt>
                <c:pt idx="102">
                  <c:v>49044</c:v>
                </c:pt>
                <c:pt idx="103">
                  <c:v>49073</c:v>
                </c:pt>
                <c:pt idx="104">
                  <c:v>49104</c:v>
                </c:pt>
                <c:pt idx="105">
                  <c:v>49135</c:v>
                </c:pt>
                <c:pt idx="106">
                  <c:v>49165</c:v>
                </c:pt>
                <c:pt idx="107">
                  <c:v>49198</c:v>
                </c:pt>
                <c:pt idx="108">
                  <c:v>49227</c:v>
                </c:pt>
                <c:pt idx="109">
                  <c:v>49257</c:v>
                </c:pt>
                <c:pt idx="110">
                  <c:v>49289</c:v>
                </c:pt>
                <c:pt idx="111">
                  <c:v>49318</c:v>
                </c:pt>
                <c:pt idx="112">
                  <c:v>49349</c:v>
                </c:pt>
                <c:pt idx="113">
                  <c:v>49377</c:v>
                </c:pt>
                <c:pt idx="114">
                  <c:v>49408</c:v>
                </c:pt>
                <c:pt idx="115">
                  <c:v>49438</c:v>
                </c:pt>
                <c:pt idx="116">
                  <c:v>49471</c:v>
                </c:pt>
                <c:pt idx="117">
                  <c:v>49499</c:v>
                </c:pt>
                <c:pt idx="118">
                  <c:v>49530</c:v>
                </c:pt>
                <c:pt idx="119">
                  <c:v>49562</c:v>
                </c:pt>
              </c:numCache>
            </c:numRef>
          </c:cat>
          <c:val>
            <c:numRef>
              <c:f>'SOFR Forward Rate Curve'!$D$5:$D$124</c:f>
              <c:numCache>
                <c:formatCode>0.00%</c:formatCode>
                <c:ptCount val="120"/>
                <c:pt idx="0">
                  <c:v>4.0500000000000001E-2</c:v>
                </c:pt>
                <c:pt idx="1">
                  <c:v>3.9E-2</c:v>
                </c:pt>
                <c:pt idx="2">
                  <c:v>3.7600000000000001E-2</c:v>
                </c:pt>
                <c:pt idx="3">
                  <c:v>3.6499999999999998E-2</c:v>
                </c:pt>
                <c:pt idx="4">
                  <c:v>3.6200000000000003E-2</c:v>
                </c:pt>
                <c:pt idx="5">
                  <c:v>3.5299999999999998E-2</c:v>
                </c:pt>
                <c:pt idx="6">
                  <c:v>3.4799999999999998E-2</c:v>
                </c:pt>
                <c:pt idx="7">
                  <c:v>3.4500000000000003E-2</c:v>
                </c:pt>
                <c:pt idx="8">
                  <c:v>3.3500000000000002E-2</c:v>
                </c:pt>
                <c:pt idx="9">
                  <c:v>3.2800000000000003E-2</c:v>
                </c:pt>
                <c:pt idx="10">
                  <c:v>3.2399999999999998E-2</c:v>
                </c:pt>
                <c:pt idx="11">
                  <c:v>3.1800000000000002E-2</c:v>
                </c:pt>
                <c:pt idx="12">
                  <c:v>3.09E-2</c:v>
                </c:pt>
                <c:pt idx="13">
                  <c:v>3.09E-2</c:v>
                </c:pt>
                <c:pt idx="14">
                  <c:v>3.09E-2</c:v>
                </c:pt>
                <c:pt idx="15">
                  <c:v>3.09E-2</c:v>
                </c:pt>
                <c:pt idx="16">
                  <c:v>3.09E-2</c:v>
                </c:pt>
                <c:pt idx="17">
                  <c:v>3.09E-2</c:v>
                </c:pt>
                <c:pt idx="18">
                  <c:v>3.09E-2</c:v>
                </c:pt>
                <c:pt idx="19">
                  <c:v>3.09E-2</c:v>
                </c:pt>
                <c:pt idx="20">
                  <c:v>3.09E-2</c:v>
                </c:pt>
                <c:pt idx="21">
                  <c:v>3.09E-2</c:v>
                </c:pt>
                <c:pt idx="22">
                  <c:v>3.09E-2</c:v>
                </c:pt>
                <c:pt idx="23">
                  <c:v>3.09E-2</c:v>
                </c:pt>
                <c:pt idx="24">
                  <c:v>3.2000000000000001E-2</c:v>
                </c:pt>
                <c:pt idx="25">
                  <c:v>3.2099999999999997E-2</c:v>
                </c:pt>
                <c:pt idx="26">
                  <c:v>3.2099999999999997E-2</c:v>
                </c:pt>
                <c:pt idx="27">
                  <c:v>3.2099999999999997E-2</c:v>
                </c:pt>
                <c:pt idx="28">
                  <c:v>3.2099999999999997E-2</c:v>
                </c:pt>
                <c:pt idx="29">
                  <c:v>3.2099999999999997E-2</c:v>
                </c:pt>
                <c:pt idx="30">
                  <c:v>3.2099999999999997E-2</c:v>
                </c:pt>
                <c:pt idx="31">
                  <c:v>3.2099999999999997E-2</c:v>
                </c:pt>
                <c:pt idx="32">
                  <c:v>3.2099999999999997E-2</c:v>
                </c:pt>
                <c:pt idx="33">
                  <c:v>3.2099999999999997E-2</c:v>
                </c:pt>
                <c:pt idx="34">
                  <c:v>3.2099999999999997E-2</c:v>
                </c:pt>
                <c:pt idx="35">
                  <c:v>3.2099999999999997E-2</c:v>
                </c:pt>
                <c:pt idx="36">
                  <c:v>3.32E-2</c:v>
                </c:pt>
                <c:pt idx="37">
                  <c:v>3.3500000000000002E-2</c:v>
                </c:pt>
                <c:pt idx="38">
                  <c:v>3.3500000000000002E-2</c:v>
                </c:pt>
                <c:pt idx="39">
                  <c:v>3.3500000000000002E-2</c:v>
                </c:pt>
                <c:pt idx="40">
                  <c:v>3.3500000000000002E-2</c:v>
                </c:pt>
                <c:pt idx="41">
                  <c:v>3.3500000000000002E-2</c:v>
                </c:pt>
                <c:pt idx="42">
                  <c:v>3.3500000000000002E-2</c:v>
                </c:pt>
                <c:pt idx="43">
                  <c:v>3.3500000000000002E-2</c:v>
                </c:pt>
                <c:pt idx="44">
                  <c:v>3.3500000000000002E-2</c:v>
                </c:pt>
                <c:pt idx="45">
                  <c:v>3.3500000000000002E-2</c:v>
                </c:pt>
                <c:pt idx="46">
                  <c:v>3.3500000000000002E-2</c:v>
                </c:pt>
                <c:pt idx="47">
                  <c:v>3.3500000000000002E-2</c:v>
                </c:pt>
                <c:pt idx="48">
                  <c:v>3.4700000000000002E-2</c:v>
                </c:pt>
                <c:pt idx="49">
                  <c:v>3.49E-2</c:v>
                </c:pt>
                <c:pt idx="50">
                  <c:v>3.49E-2</c:v>
                </c:pt>
                <c:pt idx="51">
                  <c:v>3.49E-2</c:v>
                </c:pt>
                <c:pt idx="52">
                  <c:v>3.49E-2</c:v>
                </c:pt>
                <c:pt idx="53">
                  <c:v>3.49E-2</c:v>
                </c:pt>
                <c:pt idx="54">
                  <c:v>3.49E-2</c:v>
                </c:pt>
                <c:pt idx="55">
                  <c:v>3.49E-2</c:v>
                </c:pt>
                <c:pt idx="56">
                  <c:v>3.49E-2</c:v>
                </c:pt>
                <c:pt idx="57">
                  <c:v>3.49E-2</c:v>
                </c:pt>
                <c:pt idx="58">
                  <c:v>3.49E-2</c:v>
                </c:pt>
                <c:pt idx="59">
                  <c:v>3.49E-2</c:v>
                </c:pt>
                <c:pt idx="60">
                  <c:v>3.6299999999999999E-2</c:v>
                </c:pt>
                <c:pt idx="61">
                  <c:v>3.6600000000000001E-2</c:v>
                </c:pt>
                <c:pt idx="62">
                  <c:v>3.6600000000000001E-2</c:v>
                </c:pt>
                <c:pt idx="63">
                  <c:v>3.6600000000000001E-2</c:v>
                </c:pt>
                <c:pt idx="64">
                  <c:v>3.6600000000000001E-2</c:v>
                </c:pt>
                <c:pt idx="65">
                  <c:v>3.6600000000000001E-2</c:v>
                </c:pt>
                <c:pt idx="66">
                  <c:v>3.6600000000000001E-2</c:v>
                </c:pt>
                <c:pt idx="67">
                  <c:v>3.6600000000000001E-2</c:v>
                </c:pt>
                <c:pt idx="68">
                  <c:v>3.6600000000000001E-2</c:v>
                </c:pt>
                <c:pt idx="69">
                  <c:v>3.6600000000000001E-2</c:v>
                </c:pt>
                <c:pt idx="70">
                  <c:v>3.6600000000000001E-2</c:v>
                </c:pt>
                <c:pt idx="71">
                  <c:v>3.6600000000000001E-2</c:v>
                </c:pt>
                <c:pt idx="72">
                  <c:v>3.7999999999999999E-2</c:v>
                </c:pt>
                <c:pt idx="73">
                  <c:v>3.8100000000000002E-2</c:v>
                </c:pt>
                <c:pt idx="74">
                  <c:v>3.8100000000000002E-2</c:v>
                </c:pt>
                <c:pt idx="75">
                  <c:v>3.8100000000000002E-2</c:v>
                </c:pt>
                <c:pt idx="76">
                  <c:v>3.8100000000000002E-2</c:v>
                </c:pt>
                <c:pt idx="77">
                  <c:v>3.8100000000000002E-2</c:v>
                </c:pt>
                <c:pt idx="78">
                  <c:v>3.8100000000000002E-2</c:v>
                </c:pt>
                <c:pt idx="79">
                  <c:v>3.8100000000000002E-2</c:v>
                </c:pt>
                <c:pt idx="80">
                  <c:v>3.8100000000000002E-2</c:v>
                </c:pt>
                <c:pt idx="81">
                  <c:v>3.8100000000000002E-2</c:v>
                </c:pt>
                <c:pt idx="82">
                  <c:v>3.8100000000000002E-2</c:v>
                </c:pt>
                <c:pt idx="83">
                  <c:v>3.8100000000000002E-2</c:v>
                </c:pt>
                <c:pt idx="84">
                  <c:v>3.9300000000000002E-2</c:v>
                </c:pt>
                <c:pt idx="85">
                  <c:v>3.9399999999999998E-2</c:v>
                </c:pt>
                <c:pt idx="86">
                  <c:v>3.9399999999999998E-2</c:v>
                </c:pt>
                <c:pt idx="87">
                  <c:v>3.95E-2</c:v>
                </c:pt>
                <c:pt idx="88">
                  <c:v>3.9399999999999998E-2</c:v>
                </c:pt>
                <c:pt idx="89">
                  <c:v>3.9399999999999998E-2</c:v>
                </c:pt>
                <c:pt idx="90">
                  <c:v>3.9399999999999998E-2</c:v>
                </c:pt>
                <c:pt idx="91">
                  <c:v>3.95E-2</c:v>
                </c:pt>
                <c:pt idx="92">
                  <c:v>3.9399999999999998E-2</c:v>
                </c:pt>
                <c:pt idx="93">
                  <c:v>3.95E-2</c:v>
                </c:pt>
                <c:pt idx="94">
                  <c:v>3.9399999999999998E-2</c:v>
                </c:pt>
                <c:pt idx="95">
                  <c:v>3.9399999999999998E-2</c:v>
                </c:pt>
                <c:pt idx="96">
                  <c:v>4.0500000000000001E-2</c:v>
                </c:pt>
                <c:pt idx="97">
                  <c:v>4.07E-2</c:v>
                </c:pt>
                <c:pt idx="98">
                  <c:v>4.07E-2</c:v>
                </c:pt>
                <c:pt idx="99">
                  <c:v>4.07E-2</c:v>
                </c:pt>
                <c:pt idx="100">
                  <c:v>4.07E-2</c:v>
                </c:pt>
                <c:pt idx="101">
                  <c:v>4.07E-2</c:v>
                </c:pt>
                <c:pt idx="102">
                  <c:v>4.07E-2</c:v>
                </c:pt>
                <c:pt idx="103">
                  <c:v>4.07E-2</c:v>
                </c:pt>
                <c:pt idx="104">
                  <c:v>4.07E-2</c:v>
                </c:pt>
                <c:pt idx="105">
                  <c:v>4.07E-2</c:v>
                </c:pt>
                <c:pt idx="106">
                  <c:v>4.07E-2</c:v>
                </c:pt>
                <c:pt idx="107">
                  <c:v>4.07E-2</c:v>
                </c:pt>
                <c:pt idx="108">
                  <c:v>4.1599999999999998E-2</c:v>
                </c:pt>
                <c:pt idx="109">
                  <c:v>4.19E-2</c:v>
                </c:pt>
                <c:pt idx="110">
                  <c:v>4.19E-2</c:v>
                </c:pt>
                <c:pt idx="111">
                  <c:v>4.19E-2</c:v>
                </c:pt>
                <c:pt idx="112">
                  <c:v>4.19E-2</c:v>
                </c:pt>
                <c:pt idx="113">
                  <c:v>4.19E-2</c:v>
                </c:pt>
                <c:pt idx="114">
                  <c:v>4.19E-2</c:v>
                </c:pt>
                <c:pt idx="115">
                  <c:v>4.19E-2</c:v>
                </c:pt>
                <c:pt idx="116">
                  <c:v>4.19E-2</c:v>
                </c:pt>
                <c:pt idx="117">
                  <c:v>4.19E-2</c:v>
                </c:pt>
                <c:pt idx="118">
                  <c:v>4.19E-2</c:v>
                </c:pt>
                <c:pt idx="119">
                  <c:v>4.19E-2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6D-47CF-9052-4DEB130DECFD}"/>
            </c:ext>
          </c:extLst>
        </c:ser>
        <c:ser>
          <c:idx val="1"/>
          <c:order val="1"/>
          <c:tx>
            <c:strRef>
              <c:f>'SOFR Forward Rate Curve'!$E$4</c:f>
              <c:strCache>
                <c:ptCount val="1"/>
                <c:pt idx="0">
                  <c:v>3-month Term SOFR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'SOFR Forward Rate Curve'!$C$5:$C$124</c:f>
              <c:numCache>
                <c:formatCode>m/d/yyyy</c:formatCode>
                <c:ptCount val="120"/>
                <c:pt idx="0">
                  <c:v>45939</c:v>
                </c:pt>
                <c:pt idx="1">
                  <c:v>45971</c:v>
                </c:pt>
                <c:pt idx="2">
                  <c:v>46000</c:v>
                </c:pt>
                <c:pt idx="3">
                  <c:v>46031</c:v>
                </c:pt>
                <c:pt idx="4">
                  <c:v>46062</c:v>
                </c:pt>
                <c:pt idx="5">
                  <c:v>46090</c:v>
                </c:pt>
                <c:pt idx="6">
                  <c:v>46121</c:v>
                </c:pt>
                <c:pt idx="7">
                  <c:v>46153</c:v>
                </c:pt>
                <c:pt idx="8">
                  <c:v>46182</c:v>
                </c:pt>
                <c:pt idx="9">
                  <c:v>46212</c:v>
                </c:pt>
                <c:pt idx="10">
                  <c:v>46244</c:v>
                </c:pt>
                <c:pt idx="11">
                  <c:v>46274</c:v>
                </c:pt>
                <c:pt idx="12">
                  <c:v>46304</c:v>
                </c:pt>
                <c:pt idx="13">
                  <c:v>46335</c:v>
                </c:pt>
                <c:pt idx="14">
                  <c:v>46365</c:v>
                </c:pt>
                <c:pt idx="15">
                  <c:v>46398</c:v>
                </c:pt>
                <c:pt idx="16">
                  <c:v>46427</c:v>
                </c:pt>
                <c:pt idx="17">
                  <c:v>46455</c:v>
                </c:pt>
                <c:pt idx="18">
                  <c:v>46486</c:v>
                </c:pt>
                <c:pt idx="19">
                  <c:v>46517</c:v>
                </c:pt>
                <c:pt idx="20">
                  <c:v>46547</c:v>
                </c:pt>
                <c:pt idx="21">
                  <c:v>46577</c:v>
                </c:pt>
                <c:pt idx="22">
                  <c:v>46608</c:v>
                </c:pt>
                <c:pt idx="23">
                  <c:v>46639</c:v>
                </c:pt>
                <c:pt idx="24">
                  <c:v>46672</c:v>
                </c:pt>
                <c:pt idx="25">
                  <c:v>46700</c:v>
                </c:pt>
                <c:pt idx="26">
                  <c:v>46730</c:v>
                </c:pt>
                <c:pt idx="27">
                  <c:v>46762</c:v>
                </c:pt>
                <c:pt idx="28">
                  <c:v>46792</c:v>
                </c:pt>
                <c:pt idx="29">
                  <c:v>46821</c:v>
                </c:pt>
                <c:pt idx="30">
                  <c:v>46853</c:v>
                </c:pt>
                <c:pt idx="31">
                  <c:v>46882</c:v>
                </c:pt>
                <c:pt idx="32">
                  <c:v>46913</c:v>
                </c:pt>
                <c:pt idx="33">
                  <c:v>46944</c:v>
                </c:pt>
                <c:pt idx="34">
                  <c:v>46974</c:v>
                </c:pt>
                <c:pt idx="35">
                  <c:v>47007</c:v>
                </c:pt>
                <c:pt idx="36">
                  <c:v>47036</c:v>
                </c:pt>
                <c:pt idx="37">
                  <c:v>47066</c:v>
                </c:pt>
                <c:pt idx="38">
                  <c:v>47098</c:v>
                </c:pt>
                <c:pt idx="39">
                  <c:v>47127</c:v>
                </c:pt>
                <c:pt idx="40">
                  <c:v>47158</c:v>
                </c:pt>
                <c:pt idx="41">
                  <c:v>47186</c:v>
                </c:pt>
                <c:pt idx="42">
                  <c:v>47217</c:v>
                </c:pt>
                <c:pt idx="43">
                  <c:v>47247</c:v>
                </c:pt>
                <c:pt idx="44">
                  <c:v>47280</c:v>
                </c:pt>
                <c:pt idx="45">
                  <c:v>47308</c:v>
                </c:pt>
                <c:pt idx="46">
                  <c:v>47339</c:v>
                </c:pt>
                <c:pt idx="47">
                  <c:v>47371</c:v>
                </c:pt>
                <c:pt idx="48">
                  <c:v>47400</c:v>
                </c:pt>
                <c:pt idx="49">
                  <c:v>47431</c:v>
                </c:pt>
                <c:pt idx="50">
                  <c:v>47462</c:v>
                </c:pt>
                <c:pt idx="51">
                  <c:v>47492</c:v>
                </c:pt>
                <c:pt idx="52">
                  <c:v>47525</c:v>
                </c:pt>
                <c:pt idx="53">
                  <c:v>47553</c:v>
                </c:pt>
                <c:pt idx="54">
                  <c:v>47582</c:v>
                </c:pt>
                <c:pt idx="55">
                  <c:v>47612</c:v>
                </c:pt>
                <c:pt idx="56">
                  <c:v>47644</c:v>
                </c:pt>
                <c:pt idx="57">
                  <c:v>47673</c:v>
                </c:pt>
                <c:pt idx="58">
                  <c:v>47704</c:v>
                </c:pt>
                <c:pt idx="59">
                  <c:v>47735</c:v>
                </c:pt>
                <c:pt idx="60">
                  <c:v>47765</c:v>
                </c:pt>
                <c:pt idx="61">
                  <c:v>47799</c:v>
                </c:pt>
                <c:pt idx="62">
                  <c:v>47826</c:v>
                </c:pt>
                <c:pt idx="63">
                  <c:v>47857</c:v>
                </c:pt>
                <c:pt idx="64">
                  <c:v>47889</c:v>
                </c:pt>
                <c:pt idx="65">
                  <c:v>47917</c:v>
                </c:pt>
                <c:pt idx="66">
                  <c:v>47947</c:v>
                </c:pt>
                <c:pt idx="67">
                  <c:v>47977</c:v>
                </c:pt>
                <c:pt idx="68">
                  <c:v>48008</c:v>
                </c:pt>
                <c:pt idx="69">
                  <c:v>48038</c:v>
                </c:pt>
                <c:pt idx="70">
                  <c:v>48071</c:v>
                </c:pt>
                <c:pt idx="71">
                  <c:v>48100</c:v>
                </c:pt>
                <c:pt idx="72">
                  <c:v>48130</c:v>
                </c:pt>
                <c:pt idx="73">
                  <c:v>48162</c:v>
                </c:pt>
                <c:pt idx="74">
                  <c:v>48191</c:v>
                </c:pt>
                <c:pt idx="75">
                  <c:v>48222</c:v>
                </c:pt>
                <c:pt idx="76">
                  <c:v>48253</c:v>
                </c:pt>
                <c:pt idx="77">
                  <c:v>48282</c:v>
                </c:pt>
                <c:pt idx="78">
                  <c:v>48313</c:v>
                </c:pt>
                <c:pt idx="79">
                  <c:v>48344</c:v>
                </c:pt>
                <c:pt idx="80">
                  <c:v>48374</c:v>
                </c:pt>
                <c:pt idx="81">
                  <c:v>48404</c:v>
                </c:pt>
                <c:pt idx="82">
                  <c:v>48435</c:v>
                </c:pt>
                <c:pt idx="83">
                  <c:v>48466</c:v>
                </c:pt>
                <c:pt idx="84">
                  <c:v>48499</c:v>
                </c:pt>
                <c:pt idx="85">
                  <c:v>48527</c:v>
                </c:pt>
                <c:pt idx="86">
                  <c:v>48557</c:v>
                </c:pt>
                <c:pt idx="87">
                  <c:v>48589</c:v>
                </c:pt>
                <c:pt idx="88">
                  <c:v>48619</c:v>
                </c:pt>
                <c:pt idx="89">
                  <c:v>48647</c:v>
                </c:pt>
                <c:pt idx="90">
                  <c:v>48680</c:v>
                </c:pt>
                <c:pt idx="91">
                  <c:v>48708</c:v>
                </c:pt>
                <c:pt idx="92">
                  <c:v>48739</c:v>
                </c:pt>
                <c:pt idx="93">
                  <c:v>48771</c:v>
                </c:pt>
                <c:pt idx="94">
                  <c:v>48800</c:v>
                </c:pt>
                <c:pt idx="95">
                  <c:v>48831</c:v>
                </c:pt>
                <c:pt idx="96">
                  <c:v>48863</c:v>
                </c:pt>
                <c:pt idx="97">
                  <c:v>48892</c:v>
                </c:pt>
                <c:pt idx="98">
                  <c:v>48922</c:v>
                </c:pt>
                <c:pt idx="99">
                  <c:v>48953</c:v>
                </c:pt>
                <c:pt idx="100">
                  <c:v>48984</c:v>
                </c:pt>
                <c:pt idx="101">
                  <c:v>49012</c:v>
                </c:pt>
                <c:pt idx="102">
                  <c:v>49044</c:v>
                </c:pt>
                <c:pt idx="103">
                  <c:v>49073</c:v>
                </c:pt>
                <c:pt idx="104">
                  <c:v>49104</c:v>
                </c:pt>
                <c:pt idx="105">
                  <c:v>49135</c:v>
                </c:pt>
                <c:pt idx="106">
                  <c:v>49165</c:v>
                </c:pt>
                <c:pt idx="107">
                  <c:v>49198</c:v>
                </c:pt>
                <c:pt idx="108">
                  <c:v>49227</c:v>
                </c:pt>
                <c:pt idx="109">
                  <c:v>49257</c:v>
                </c:pt>
                <c:pt idx="110">
                  <c:v>49289</c:v>
                </c:pt>
                <c:pt idx="111">
                  <c:v>49318</c:v>
                </c:pt>
                <c:pt idx="112">
                  <c:v>49349</c:v>
                </c:pt>
                <c:pt idx="113">
                  <c:v>49377</c:v>
                </c:pt>
                <c:pt idx="114">
                  <c:v>49408</c:v>
                </c:pt>
                <c:pt idx="115">
                  <c:v>49438</c:v>
                </c:pt>
                <c:pt idx="116">
                  <c:v>49471</c:v>
                </c:pt>
                <c:pt idx="117">
                  <c:v>49499</c:v>
                </c:pt>
                <c:pt idx="118">
                  <c:v>49530</c:v>
                </c:pt>
                <c:pt idx="119">
                  <c:v>49562</c:v>
                </c:pt>
              </c:numCache>
            </c:numRef>
          </c:cat>
          <c:val>
            <c:numRef>
              <c:f>'SOFR Forward Rate Curve'!$E$5:$E$124</c:f>
              <c:numCache>
                <c:formatCode>0.00%</c:formatCode>
                <c:ptCount val="120"/>
                <c:pt idx="0">
                  <c:v>3.9100000000000003E-2</c:v>
                </c:pt>
                <c:pt idx="1">
                  <c:v>3.78E-2</c:v>
                </c:pt>
                <c:pt idx="2">
                  <c:v>3.6900000000000002E-2</c:v>
                </c:pt>
                <c:pt idx="3">
                  <c:v>3.61E-2</c:v>
                </c:pt>
                <c:pt idx="4">
                  <c:v>3.5400000000000001E-2</c:v>
                </c:pt>
                <c:pt idx="5">
                  <c:v>3.49E-2</c:v>
                </c:pt>
                <c:pt idx="6">
                  <c:v>3.4299999999999997E-2</c:v>
                </c:pt>
                <c:pt idx="7">
                  <c:v>3.3599999999999998E-2</c:v>
                </c:pt>
                <c:pt idx="8">
                  <c:v>3.2899999999999999E-2</c:v>
                </c:pt>
                <c:pt idx="9">
                  <c:v>3.2399999999999998E-2</c:v>
                </c:pt>
                <c:pt idx="10">
                  <c:v>3.1699999999999999E-2</c:v>
                </c:pt>
                <c:pt idx="11">
                  <c:v>3.1300000000000001E-2</c:v>
                </c:pt>
                <c:pt idx="12">
                  <c:v>3.1E-2</c:v>
                </c:pt>
                <c:pt idx="13">
                  <c:v>3.09E-2</c:v>
                </c:pt>
                <c:pt idx="14">
                  <c:v>3.09E-2</c:v>
                </c:pt>
                <c:pt idx="15">
                  <c:v>3.1E-2</c:v>
                </c:pt>
                <c:pt idx="16">
                  <c:v>3.09E-2</c:v>
                </c:pt>
                <c:pt idx="17">
                  <c:v>3.09E-2</c:v>
                </c:pt>
                <c:pt idx="18">
                  <c:v>3.1E-2</c:v>
                </c:pt>
                <c:pt idx="19">
                  <c:v>3.09E-2</c:v>
                </c:pt>
                <c:pt idx="20">
                  <c:v>3.09E-2</c:v>
                </c:pt>
                <c:pt idx="21">
                  <c:v>3.1E-2</c:v>
                </c:pt>
                <c:pt idx="22">
                  <c:v>3.1199999999999999E-2</c:v>
                </c:pt>
                <c:pt idx="23">
                  <c:v>3.1600000000000003E-2</c:v>
                </c:pt>
                <c:pt idx="24">
                  <c:v>3.2099999999999997E-2</c:v>
                </c:pt>
                <c:pt idx="25">
                  <c:v>3.2099999999999997E-2</c:v>
                </c:pt>
                <c:pt idx="26">
                  <c:v>3.2099999999999997E-2</c:v>
                </c:pt>
                <c:pt idx="27">
                  <c:v>3.2199999999999999E-2</c:v>
                </c:pt>
                <c:pt idx="28">
                  <c:v>3.2099999999999997E-2</c:v>
                </c:pt>
                <c:pt idx="29">
                  <c:v>3.2099999999999997E-2</c:v>
                </c:pt>
                <c:pt idx="30">
                  <c:v>3.2199999999999999E-2</c:v>
                </c:pt>
                <c:pt idx="31">
                  <c:v>3.2099999999999997E-2</c:v>
                </c:pt>
                <c:pt idx="32">
                  <c:v>3.2099999999999997E-2</c:v>
                </c:pt>
                <c:pt idx="33">
                  <c:v>3.2199999999999999E-2</c:v>
                </c:pt>
                <c:pt idx="34">
                  <c:v>3.2399999999999998E-2</c:v>
                </c:pt>
                <c:pt idx="35">
                  <c:v>3.2899999999999999E-2</c:v>
                </c:pt>
                <c:pt idx="36">
                  <c:v>3.3500000000000002E-2</c:v>
                </c:pt>
                <c:pt idx="37">
                  <c:v>3.3500000000000002E-2</c:v>
                </c:pt>
                <c:pt idx="38">
                  <c:v>3.3500000000000002E-2</c:v>
                </c:pt>
                <c:pt idx="39">
                  <c:v>3.3599999999999998E-2</c:v>
                </c:pt>
                <c:pt idx="40">
                  <c:v>3.3500000000000002E-2</c:v>
                </c:pt>
                <c:pt idx="41">
                  <c:v>3.3500000000000002E-2</c:v>
                </c:pt>
                <c:pt idx="42">
                  <c:v>3.3599999999999998E-2</c:v>
                </c:pt>
                <c:pt idx="43">
                  <c:v>3.3500000000000002E-2</c:v>
                </c:pt>
                <c:pt idx="44">
                  <c:v>3.3500000000000002E-2</c:v>
                </c:pt>
                <c:pt idx="45">
                  <c:v>3.3599999999999998E-2</c:v>
                </c:pt>
                <c:pt idx="46">
                  <c:v>3.3799999999999997E-2</c:v>
                </c:pt>
                <c:pt idx="47">
                  <c:v>3.4299999999999997E-2</c:v>
                </c:pt>
                <c:pt idx="48">
                  <c:v>3.49E-2</c:v>
                </c:pt>
                <c:pt idx="49">
                  <c:v>3.49E-2</c:v>
                </c:pt>
                <c:pt idx="50">
                  <c:v>3.49E-2</c:v>
                </c:pt>
                <c:pt idx="51">
                  <c:v>3.5000000000000003E-2</c:v>
                </c:pt>
                <c:pt idx="52">
                  <c:v>3.49E-2</c:v>
                </c:pt>
                <c:pt idx="53">
                  <c:v>3.49E-2</c:v>
                </c:pt>
                <c:pt idx="54">
                  <c:v>3.5000000000000003E-2</c:v>
                </c:pt>
                <c:pt idx="55">
                  <c:v>3.49E-2</c:v>
                </c:pt>
                <c:pt idx="56">
                  <c:v>3.49E-2</c:v>
                </c:pt>
                <c:pt idx="57">
                  <c:v>3.5000000000000003E-2</c:v>
                </c:pt>
                <c:pt idx="58">
                  <c:v>3.5400000000000001E-2</c:v>
                </c:pt>
                <c:pt idx="59">
                  <c:v>3.5900000000000001E-2</c:v>
                </c:pt>
                <c:pt idx="60">
                  <c:v>3.6600000000000001E-2</c:v>
                </c:pt>
                <c:pt idx="61">
                  <c:v>3.6600000000000001E-2</c:v>
                </c:pt>
                <c:pt idx="62">
                  <c:v>3.6600000000000001E-2</c:v>
                </c:pt>
                <c:pt idx="63">
                  <c:v>3.6700000000000003E-2</c:v>
                </c:pt>
                <c:pt idx="64">
                  <c:v>3.6600000000000001E-2</c:v>
                </c:pt>
                <c:pt idx="65">
                  <c:v>3.6600000000000001E-2</c:v>
                </c:pt>
                <c:pt idx="66">
                  <c:v>3.6700000000000003E-2</c:v>
                </c:pt>
                <c:pt idx="67">
                  <c:v>3.6600000000000001E-2</c:v>
                </c:pt>
                <c:pt idx="68">
                  <c:v>3.6600000000000001E-2</c:v>
                </c:pt>
                <c:pt idx="69">
                  <c:v>3.6700000000000003E-2</c:v>
                </c:pt>
                <c:pt idx="70">
                  <c:v>3.6999999999999998E-2</c:v>
                </c:pt>
                <c:pt idx="71">
                  <c:v>3.7499999999999999E-2</c:v>
                </c:pt>
                <c:pt idx="72">
                  <c:v>3.8199999999999998E-2</c:v>
                </c:pt>
                <c:pt idx="73">
                  <c:v>3.8100000000000002E-2</c:v>
                </c:pt>
                <c:pt idx="74">
                  <c:v>3.8100000000000002E-2</c:v>
                </c:pt>
                <c:pt idx="75">
                  <c:v>3.8199999999999998E-2</c:v>
                </c:pt>
                <c:pt idx="76">
                  <c:v>3.8100000000000002E-2</c:v>
                </c:pt>
                <c:pt idx="77">
                  <c:v>3.8100000000000002E-2</c:v>
                </c:pt>
                <c:pt idx="78">
                  <c:v>3.8199999999999998E-2</c:v>
                </c:pt>
                <c:pt idx="79">
                  <c:v>3.8100000000000002E-2</c:v>
                </c:pt>
                <c:pt idx="80">
                  <c:v>3.8100000000000002E-2</c:v>
                </c:pt>
                <c:pt idx="81">
                  <c:v>3.8199999999999998E-2</c:v>
                </c:pt>
                <c:pt idx="82">
                  <c:v>3.8399999999999997E-2</c:v>
                </c:pt>
                <c:pt idx="83">
                  <c:v>3.8899999999999997E-2</c:v>
                </c:pt>
                <c:pt idx="84">
                  <c:v>3.95E-2</c:v>
                </c:pt>
                <c:pt idx="85">
                  <c:v>3.9399999999999998E-2</c:v>
                </c:pt>
                <c:pt idx="86">
                  <c:v>3.9399999999999998E-2</c:v>
                </c:pt>
                <c:pt idx="87">
                  <c:v>3.9600000000000003E-2</c:v>
                </c:pt>
                <c:pt idx="88">
                  <c:v>3.9399999999999998E-2</c:v>
                </c:pt>
                <c:pt idx="89">
                  <c:v>3.9399999999999998E-2</c:v>
                </c:pt>
                <c:pt idx="90">
                  <c:v>3.9600000000000003E-2</c:v>
                </c:pt>
                <c:pt idx="91">
                  <c:v>3.9399999999999998E-2</c:v>
                </c:pt>
                <c:pt idx="92">
                  <c:v>3.9399999999999998E-2</c:v>
                </c:pt>
                <c:pt idx="93">
                  <c:v>3.9600000000000003E-2</c:v>
                </c:pt>
                <c:pt idx="94">
                  <c:v>3.9699999999999999E-2</c:v>
                </c:pt>
                <c:pt idx="95">
                  <c:v>4.0099999999999997E-2</c:v>
                </c:pt>
                <c:pt idx="96">
                  <c:v>4.07E-2</c:v>
                </c:pt>
                <c:pt idx="97">
                  <c:v>4.0599999999999997E-2</c:v>
                </c:pt>
                <c:pt idx="98">
                  <c:v>4.0599999999999997E-2</c:v>
                </c:pt>
                <c:pt idx="99">
                  <c:v>4.0800000000000003E-2</c:v>
                </c:pt>
                <c:pt idx="100">
                  <c:v>4.07E-2</c:v>
                </c:pt>
                <c:pt idx="101">
                  <c:v>4.0599999999999997E-2</c:v>
                </c:pt>
                <c:pt idx="102">
                  <c:v>4.0800000000000003E-2</c:v>
                </c:pt>
                <c:pt idx="103">
                  <c:v>4.07E-2</c:v>
                </c:pt>
                <c:pt idx="104">
                  <c:v>4.07E-2</c:v>
                </c:pt>
                <c:pt idx="105">
                  <c:v>4.0800000000000003E-2</c:v>
                </c:pt>
                <c:pt idx="106">
                  <c:v>4.0899999999999999E-2</c:v>
                </c:pt>
                <c:pt idx="107">
                  <c:v>4.1399999999999999E-2</c:v>
                </c:pt>
                <c:pt idx="108">
                  <c:v>4.19E-2</c:v>
                </c:pt>
                <c:pt idx="109">
                  <c:v>4.19E-2</c:v>
                </c:pt>
                <c:pt idx="110">
                  <c:v>4.19E-2</c:v>
                </c:pt>
                <c:pt idx="111">
                  <c:v>4.2000000000000003E-2</c:v>
                </c:pt>
                <c:pt idx="112">
                  <c:v>4.19E-2</c:v>
                </c:pt>
                <c:pt idx="113">
                  <c:v>4.19E-2</c:v>
                </c:pt>
                <c:pt idx="114">
                  <c:v>4.2000000000000003E-2</c:v>
                </c:pt>
                <c:pt idx="115">
                  <c:v>4.19E-2</c:v>
                </c:pt>
                <c:pt idx="116">
                  <c:v>4.19E-2</c:v>
                </c:pt>
                <c:pt idx="117">
                  <c:v>4.2000000000000003E-2</c:v>
                </c:pt>
                <c:pt idx="118">
                  <c:v>4.2200000000000001E-2</c:v>
                </c:pt>
                <c:pt idx="119">
                  <c:v>4.2799999999999998E-2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6D-47CF-9052-4DEB130DECFD}"/>
            </c:ext>
          </c:extLst>
        </c:ser>
        <c:ser>
          <c:idx val="2"/>
          <c:order val="2"/>
          <c:tx>
            <c:strRef>
              <c:f>'SOFR Forward Rate Curve'!$F$4</c:f>
              <c:strCache>
                <c:ptCount val="1"/>
                <c:pt idx="0">
                  <c:v>1-Month ISDA SOFR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'SOFR Forward Rate Curve'!$C$5:$C$124</c:f>
              <c:numCache>
                <c:formatCode>m/d/yyyy</c:formatCode>
                <c:ptCount val="120"/>
                <c:pt idx="0">
                  <c:v>45939</c:v>
                </c:pt>
                <c:pt idx="1">
                  <c:v>45971</c:v>
                </c:pt>
                <c:pt idx="2">
                  <c:v>46000</c:v>
                </c:pt>
                <c:pt idx="3">
                  <c:v>46031</c:v>
                </c:pt>
                <c:pt idx="4">
                  <c:v>46062</c:v>
                </c:pt>
                <c:pt idx="5">
                  <c:v>46090</c:v>
                </c:pt>
                <c:pt idx="6">
                  <c:v>46121</c:v>
                </c:pt>
                <c:pt idx="7">
                  <c:v>46153</c:v>
                </c:pt>
                <c:pt idx="8">
                  <c:v>46182</c:v>
                </c:pt>
                <c:pt idx="9">
                  <c:v>46212</c:v>
                </c:pt>
                <c:pt idx="10">
                  <c:v>46244</c:v>
                </c:pt>
                <c:pt idx="11">
                  <c:v>46274</c:v>
                </c:pt>
                <c:pt idx="12">
                  <c:v>46304</c:v>
                </c:pt>
                <c:pt idx="13">
                  <c:v>46335</c:v>
                </c:pt>
                <c:pt idx="14">
                  <c:v>46365</c:v>
                </c:pt>
                <c:pt idx="15">
                  <c:v>46398</c:v>
                </c:pt>
                <c:pt idx="16">
                  <c:v>46427</c:v>
                </c:pt>
                <c:pt idx="17">
                  <c:v>46455</c:v>
                </c:pt>
                <c:pt idx="18">
                  <c:v>46486</c:v>
                </c:pt>
                <c:pt idx="19">
                  <c:v>46517</c:v>
                </c:pt>
                <c:pt idx="20">
                  <c:v>46547</c:v>
                </c:pt>
                <c:pt idx="21">
                  <c:v>46577</c:v>
                </c:pt>
                <c:pt idx="22">
                  <c:v>46608</c:v>
                </c:pt>
                <c:pt idx="23">
                  <c:v>46639</c:v>
                </c:pt>
                <c:pt idx="24">
                  <c:v>46672</c:v>
                </c:pt>
                <c:pt idx="25">
                  <c:v>46700</c:v>
                </c:pt>
                <c:pt idx="26">
                  <c:v>46730</c:v>
                </c:pt>
                <c:pt idx="27">
                  <c:v>46762</c:v>
                </c:pt>
                <c:pt idx="28">
                  <c:v>46792</c:v>
                </c:pt>
                <c:pt idx="29">
                  <c:v>46821</c:v>
                </c:pt>
                <c:pt idx="30">
                  <c:v>46853</c:v>
                </c:pt>
                <c:pt idx="31">
                  <c:v>46882</c:v>
                </c:pt>
                <c:pt idx="32">
                  <c:v>46913</c:v>
                </c:pt>
                <c:pt idx="33">
                  <c:v>46944</c:v>
                </c:pt>
                <c:pt idx="34">
                  <c:v>46974</c:v>
                </c:pt>
                <c:pt idx="35">
                  <c:v>47007</c:v>
                </c:pt>
                <c:pt idx="36">
                  <c:v>47036</c:v>
                </c:pt>
                <c:pt idx="37">
                  <c:v>47066</c:v>
                </c:pt>
                <c:pt idx="38">
                  <c:v>47098</c:v>
                </c:pt>
                <c:pt idx="39">
                  <c:v>47127</c:v>
                </c:pt>
                <c:pt idx="40">
                  <c:v>47158</c:v>
                </c:pt>
                <c:pt idx="41">
                  <c:v>47186</c:v>
                </c:pt>
                <c:pt idx="42">
                  <c:v>47217</c:v>
                </c:pt>
                <c:pt idx="43">
                  <c:v>47247</c:v>
                </c:pt>
                <c:pt idx="44">
                  <c:v>47280</c:v>
                </c:pt>
                <c:pt idx="45">
                  <c:v>47308</c:v>
                </c:pt>
                <c:pt idx="46">
                  <c:v>47339</c:v>
                </c:pt>
                <c:pt idx="47">
                  <c:v>47371</c:v>
                </c:pt>
                <c:pt idx="48">
                  <c:v>47400</c:v>
                </c:pt>
                <c:pt idx="49">
                  <c:v>47431</c:v>
                </c:pt>
                <c:pt idx="50">
                  <c:v>47462</c:v>
                </c:pt>
                <c:pt idx="51">
                  <c:v>47492</c:v>
                </c:pt>
                <c:pt idx="52">
                  <c:v>47525</c:v>
                </c:pt>
                <c:pt idx="53">
                  <c:v>47553</c:v>
                </c:pt>
                <c:pt idx="54">
                  <c:v>47582</c:v>
                </c:pt>
                <c:pt idx="55">
                  <c:v>47612</c:v>
                </c:pt>
                <c:pt idx="56">
                  <c:v>47644</c:v>
                </c:pt>
                <c:pt idx="57">
                  <c:v>47673</c:v>
                </c:pt>
                <c:pt idx="58">
                  <c:v>47704</c:v>
                </c:pt>
                <c:pt idx="59">
                  <c:v>47735</c:v>
                </c:pt>
                <c:pt idx="60">
                  <c:v>47765</c:v>
                </c:pt>
                <c:pt idx="61">
                  <c:v>47799</c:v>
                </c:pt>
                <c:pt idx="62">
                  <c:v>47826</c:v>
                </c:pt>
                <c:pt idx="63">
                  <c:v>47857</c:v>
                </c:pt>
                <c:pt idx="64">
                  <c:v>47889</c:v>
                </c:pt>
                <c:pt idx="65">
                  <c:v>47917</c:v>
                </c:pt>
                <c:pt idx="66">
                  <c:v>47947</c:v>
                </c:pt>
                <c:pt idx="67">
                  <c:v>47977</c:v>
                </c:pt>
                <c:pt idx="68">
                  <c:v>48008</c:v>
                </c:pt>
                <c:pt idx="69">
                  <c:v>48038</c:v>
                </c:pt>
                <c:pt idx="70">
                  <c:v>48071</c:v>
                </c:pt>
                <c:pt idx="71">
                  <c:v>48100</c:v>
                </c:pt>
                <c:pt idx="72">
                  <c:v>48130</c:v>
                </c:pt>
                <c:pt idx="73">
                  <c:v>48162</c:v>
                </c:pt>
                <c:pt idx="74">
                  <c:v>48191</c:v>
                </c:pt>
                <c:pt idx="75">
                  <c:v>48222</c:v>
                </c:pt>
                <c:pt idx="76">
                  <c:v>48253</c:v>
                </c:pt>
                <c:pt idx="77">
                  <c:v>48282</c:v>
                </c:pt>
                <c:pt idx="78">
                  <c:v>48313</c:v>
                </c:pt>
                <c:pt idx="79">
                  <c:v>48344</c:v>
                </c:pt>
                <c:pt idx="80">
                  <c:v>48374</c:v>
                </c:pt>
                <c:pt idx="81">
                  <c:v>48404</c:v>
                </c:pt>
                <c:pt idx="82">
                  <c:v>48435</c:v>
                </c:pt>
                <c:pt idx="83">
                  <c:v>48466</c:v>
                </c:pt>
                <c:pt idx="84">
                  <c:v>48499</c:v>
                </c:pt>
                <c:pt idx="85">
                  <c:v>48527</c:v>
                </c:pt>
                <c:pt idx="86">
                  <c:v>48557</c:v>
                </c:pt>
                <c:pt idx="87">
                  <c:v>48589</c:v>
                </c:pt>
                <c:pt idx="88">
                  <c:v>48619</c:v>
                </c:pt>
                <c:pt idx="89">
                  <c:v>48647</c:v>
                </c:pt>
                <c:pt idx="90">
                  <c:v>48680</c:v>
                </c:pt>
                <c:pt idx="91">
                  <c:v>48708</c:v>
                </c:pt>
                <c:pt idx="92">
                  <c:v>48739</c:v>
                </c:pt>
                <c:pt idx="93">
                  <c:v>48771</c:v>
                </c:pt>
                <c:pt idx="94">
                  <c:v>48800</c:v>
                </c:pt>
                <c:pt idx="95">
                  <c:v>48831</c:v>
                </c:pt>
                <c:pt idx="96">
                  <c:v>48863</c:v>
                </c:pt>
                <c:pt idx="97">
                  <c:v>48892</c:v>
                </c:pt>
                <c:pt idx="98">
                  <c:v>48922</c:v>
                </c:pt>
                <c:pt idx="99">
                  <c:v>48953</c:v>
                </c:pt>
                <c:pt idx="100">
                  <c:v>48984</c:v>
                </c:pt>
                <c:pt idx="101">
                  <c:v>49012</c:v>
                </c:pt>
                <c:pt idx="102">
                  <c:v>49044</c:v>
                </c:pt>
                <c:pt idx="103">
                  <c:v>49073</c:v>
                </c:pt>
                <c:pt idx="104">
                  <c:v>49104</c:v>
                </c:pt>
                <c:pt idx="105">
                  <c:v>49135</c:v>
                </c:pt>
                <c:pt idx="106">
                  <c:v>49165</c:v>
                </c:pt>
                <c:pt idx="107">
                  <c:v>49198</c:v>
                </c:pt>
                <c:pt idx="108">
                  <c:v>49227</c:v>
                </c:pt>
                <c:pt idx="109">
                  <c:v>49257</c:v>
                </c:pt>
                <c:pt idx="110">
                  <c:v>49289</c:v>
                </c:pt>
                <c:pt idx="111">
                  <c:v>49318</c:v>
                </c:pt>
                <c:pt idx="112">
                  <c:v>49349</c:v>
                </c:pt>
                <c:pt idx="113">
                  <c:v>49377</c:v>
                </c:pt>
                <c:pt idx="114">
                  <c:v>49408</c:v>
                </c:pt>
                <c:pt idx="115">
                  <c:v>49438</c:v>
                </c:pt>
                <c:pt idx="116">
                  <c:v>49471</c:v>
                </c:pt>
                <c:pt idx="117">
                  <c:v>49499</c:v>
                </c:pt>
                <c:pt idx="118">
                  <c:v>49530</c:v>
                </c:pt>
                <c:pt idx="119">
                  <c:v>49562</c:v>
                </c:pt>
              </c:numCache>
            </c:numRef>
          </c:cat>
          <c:val>
            <c:numRef>
              <c:f>'SOFR Forward Rate Curve'!$F$5:$F$124</c:f>
              <c:numCache>
                <c:formatCode>0.00%</c:formatCode>
                <c:ptCount val="120"/>
                <c:pt idx="0">
                  <c:v>4.36E-2</c:v>
                </c:pt>
                <c:pt idx="1">
                  <c:v>3.9800000000000002E-2</c:v>
                </c:pt>
                <c:pt idx="2">
                  <c:v>3.9800000000000002E-2</c:v>
                </c:pt>
                <c:pt idx="3">
                  <c:v>3.78E-2</c:v>
                </c:pt>
                <c:pt idx="4">
                  <c:v>3.7699999999999997E-2</c:v>
                </c:pt>
                <c:pt idx="5">
                  <c:v>3.7699999999999997E-2</c:v>
                </c:pt>
                <c:pt idx="6">
                  <c:v>3.5700000000000003E-2</c:v>
                </c:pt>
                <c:pt idx="7">
                  <c:v>3.56E-2</c:v>
                </c:pt>
                <c:pt idx="8">
                  <c:v>3.56E-2</c:v>
                </c:pt>
                <c:pt idx="9">
                  <c:v>3.3000000000000002E-2</c:v>
                </c:pt>
                <c:pt idx="10">
                  <c:v>3.2899999999999999E-2</c:v>
                </c:pt>
                <c:pt idx="11">
                  <c:v>3.2899999999999999E-2</c:v>
                </c:pt>
                <c:pt idx="12">
                  <c:v>3.1899999999999998E-2</c:v>
                </c:pt>
                <c:pt idx="13">
                  <c:v>3.1899999999999998E-2</c:v>
                </c:pt>
                <c:pt idx="14">
                  <c:v>3.1899999999999998E-2</c:v>
                </c:pt>
                <c:pt idx="15">
                  <c:v>3.1899999999999998E-2</c:v>
                </c:pt>
                <c:pt idx="16">
                  <c:v>3.1899999999999998E-2</c:v>
                </c:pt>
                <c:pt idx="17">
                  <c:v>3.1899999999999998E-2</c:v>
                </c:pt>
                <c:pt idx="18">
                  <c:v>3.2300000000000002E-2</c:v>
                </c:pt>
                <c:pt idx="19">
                  <c:v>3.2300000000000002E-2</c:v>
                </c:pt>
                <c:pt idx="20">
                  <c:v>3.2300000000000002E-2</c:v>
                </c:pt>
                <c:pt idx="21">
                  <c:v>3.2300000000000002E-2</c:v>
                </c:pt>
                <c:pt idx="22">
                  <c:v>3.2300000000000002E-2</c:v>
                </c:pt>
                <c:pt idx="23">
                  <c:v>3.2300000000000002E-2</c:v>
                </c:pt>
                <c:pt idx="24">
                  <c:v>3.32E-2</c:v>
                </c:pt>
                <c:pt idx="25">
                  <c:v>3.32E-2</c:v>
                </c:pt>
                <c:pt idx="26">
                  <c:v>3.32E-2</c:v>
                </c:pt>
                <c:pt idx="27">
                  <c:v>3.32E-2</c:v>
                </c:pt>
                <c:pt idx="28">
                  <c:v>3.32E-2</c:v>
                </c:pt>
                <c:pt idx="29">
                  <c:v>3.32E-2</c:v>
                </c:pt>
                <c:pt idx="30">
                  <c:v>3.32E-2</c:v>
                </c:pt>
                <c:pt idx="31">
                  <c:v>3.32E-2</c:v>
                </c:pt>
                <c:pt idx="32">
                  <c:v>3.32E-2</c:v>
                </c:pt>
                <c:pt idx="33">
                  <c:v>3.32E-2</c:v>
                </c:pt>
                <c:pt idx="34">
                  <c:v>3.32E-2</c:v>
                </c:pt>
                <c:pt idx="35">
                  <c:v>3.32E-2</c:v>
                </c:pt>
                <c:pt idx="36">
                  <c:v>3.4500000000000003E-2</c:v>
                </c:pt>
                <c:pt idx="37">
                  <c:v>3.4700000000000002E-2</c:v>
                </c:pt>
                <c:pt idx="38">
                  <c:v>3.4700000000000002E-2</c:v>
                </c:pt>
                <c:pt idx="39">
                  <c:v>3.4700000000000002E-2</c:v>
                </c:pt>
                <c:pt idx="40">
                  <c:v>3.4700000000000002E-2</c:v>
                </c:pt>
                <c:pt idx="41">
                  <c:v>3.4700000000000002E-2</c:v>
                </c:pt>
                <c:pt idx="42">
                  <c:v>3.4700000000000002E-2</c:v>
                </c:pt>
                <c:pt idx="43">
                  <c:v>3.4700000000000002E-2</c:v>
                </c:pt>
                <c:pt idx="44">
                  <c:v>3.4700000000000002E-2</c:v>
                </c:pt>
                <c:pt idx="45">
                  <c:v>3.4700000000000002E-2</c:v>
                </c:pt>
                <c:pt idx="46">
                  <c:v>3.4700000000000002E-2</c:v>
                </c:pt>
                <c:pt idx="47">
                  <c:v>3.4700000000000002E-2</c:v>
                </c:pt>
                <c:pt idx="48">
                  <c:v>3.5900000000000001E-2</c:v>
                </c:pt>
                <c:pt idx="49">
                  <c:v>3.61E-2</c:v>
                </c:pt>
                <c:pt idx="50">
                  <c:v>3.61E-2</c:v>
                </c:pt>
                <c:pt idx="51">
                  <c:v>3.61E-2</c:v>
                </c:pt>
                <c:pt idx="52">
                  <c:v>3.61E-2</c:v>
                </c:pt>
                <c:pt idx="53">
                  <c:v>3.61E-2</c:v>
                </c:pt>
                <c:pt idx="54">
                  <c:v>3.61E-2</c:v>
                </c:pt>
                <c:pt idx="55">
                  <c:v>3.61E-2</c:v>
                </c:pt>
                <c:pt idx="56">
                  <c:v>3.61E-2</c:v>
                </c:pt>
                <c:pt idx="57">
                  <c:v>3.61E-2</c:v>
                </c:pt>
                <c:pt idx="58">
                  <c:v>3.61E-2</c:v>
                </c:pt>
                <c:pt idx="59">
                  <c:v>3.61E-2</c:v>
                </c:pt>
                <c:pt idx="60">
                  <c:v>3.7600000000000001E-2</c:v>
                </c:pt>
                <c:pt idx="61">
                  <c:v>3.78E-2</c:v>
                </c:pt>
                <c:pt idx="62">
                  <c:v>3.78E-2</c:v>
                </c:pt>
                <c:pt idx="63">
                  <c:v>3.78E-2</c:v>
                </c:pt>
                <c:pt idx="64">
                  <c:v>3.78E-2</c:v>
                </c:pt>
                <c:pt idx="65">
                  <c:v>3.78E-2</c:v>
                </c:pt>
                <c:pt idx="66">
                  <c:v>3.78E-2</c:v>
                </c:pt>
                <c:pt idx="67">
                  <c:v>3.78E-2</c:v>
                </c:pt>
                <c:pt idx="68">
                  <c:v>3.78E-2</c:v>
                </c:pt>
                <c:pt idx="69">
                  <c:v>3.78E-2</c:v>
                </c:pt>
                <c:pt idx="70">
                  <c:v>3.78E-2</c:v>
                </c:pt>
                <c:pt idx="71">
                  <c:v>3.78E-2</c:v>
                </c:pt>
                <c:pt idx="72">
                  <c:v>3.9100000000000003E-2</c:v>
                </c:pt>
                <c:pt idx="73">
                  <c:v>3.9199999999999999E-2</c:v>
                </c:pt>
                <c:pt idx="74">
                  <c:v>3.9199999999999999E-2</c:v>
                </c:pt>
                <c:pt idx="75">
                  <c:v>3.9199999999999999E-2</c:v>
                </c:pt>
                <c:pt idx="76">
                  <c:v>3.9199999999999999E-2</c:v>
                </c:pt>
                <c:pt idx="77">
                  <c:v>3.9199999999999999E-2</c:v>
                </c:pt>
                <c:pt idx="78">
                  <c:v>3.9199999999999999E-2</c:v>
                </c:pt>
                <c:pt idx="79">
                  <c:v>3.9199999999999999E-2</c:v>
                </c:pt>
                <c:pt idx="80">
                  <c:v>3.9199999999999999E-2</c:v>
                </c:pt>
                <c:pt idx="81">
                  <c:v>3.9199999999999999E-2</c:v>
                </c:pt>
                <c:pt idx="82">
                  <c:v>3.9199999999999999E-2</c:v>
                </c:pt>
                <c:pt idx="83">
                  <c:v>3.9199999999999999E-2</c:v>
                </c:pt>
                <c:pt idx="84">
                  <c:v>4.0599999999999997E-2</c:v>
                </c:pt>
                <c:pt idx="85">
                  <c:v>4.0599999999999997E-2</c:v>
                </c:pt>
                <c:pt idx="86">
                  <c:v>4.0599999999999997E-2</c:v>
                </c:pt>
                <c:pt idx="87">
                  <c:v>4.0599999999999997E-2</c:v>
                </c:pt>
                <c:pt idx="88">
                  <c:v>4.0599999999999997E-2</c:v>
                </c:pt>
                <c:pt idx="89">
                  <c:v>4.0599999999999997E-2</c:v>
                </c:pt>
                <c:pt idx="90">
                  <c:v>4.0599999999999997E-2</c:v>
                </c:pt>
                <c:pt idx="91">
                  <c:v>4.0599999999999997E-2</c:v>
                </c:pt>
                <c:pt idx="92">
                  <c:v>4.0599999999999997E-2</c:v>
                </c:pt>
                <c:pt idx="93">
                  <c:v>4.0599999999999997E-2</c:v>
                </c:pt>
                <c:pt idx="94">
                  <c:v>4.0599999999999997E-2</c:v>
                </c:pt>
                <c:pt idx="95">
                  <c:v>4.0599999999999997E-2</c:v>
                </c:pt>
                <c:pt idx="96">
                  <c:v>4.1799999999999997E-2</c:v>
                </c:pt>
                <c:pt idx="97">
                  <c:v>4.1799999999999997E-2</c:v>
                </c:pt>
                <c:pt idx="98">
                  <c:v>4.1799999999999997E-2</c:v>
                </c:pt>
                <c:pt idx="99">
                  <c:v>4.1799999999999997E-2</c:v>
                </c:pt>
                <c:pt idx="100">
                  <c:v>4.1799999999999997E-2</c:v>
                </c:pt>
                <c:pt idx="101">
                  <c:v>4.1799999999999997E-2</c:v>
                </c:pt>
                <c:pt idx="102">
                  <c:v>4.1799999999999997E-2</c:v>
                </c:pt>
                <c:pt idx="103">
                  <c:v>4.1799999999999997E-2</c:v>
                </c:pt>
                <c:pt idx="104">
                  <c:v>4.1799999999999997E-2</c:v>
                </c:pt>
                <c:pt idx="105">
                  <c:v>4.1799999999999997E-2</c:v>
                </c:pt>
                <c:pt idx="106">
                  <c:v>4.1799999999999997E-2</c:v>
                </c:pt>
                <c:pt idx="107">
                  <c:v>4.1799999999999997E-2</c:v>
                </c:pt>
                <c:pt idx="108">
                  <c:v>4.2900000000000001E-2</c:v>
                </c:pt>
                <c:pt idx="109">
                  <c:v>4.3099999999999999E-2</c:v>
                </c:pt>
                <c:pt idx="110">
                  <c:v>4.3099999999999999E-2</c:v>
                </c:pt>
                <c:pt idx="111">
                  <c:v>4.3099999999999999E-2</c:v>
                </c:pt>
                <c:pt idx="112">
                  <c:v>4.3099999999999999E-2</c:v>
                </c:pt>
                <c:pt idx="113">
                  <c:v>4.3099999999999999E-2</c:v>
                </c:pt>
                <c:pt idx="114">
                  <c:v>4.3099999999999999E-2</c:v>
                </c:pt>
                <c:pt idx="115">
                  <c:v>4.3099999999999999E-2</c:v>
                </c:pt>
                <c:pt idx="116">
                  <c:v>4.3099999999999999E-2</c:v>
                </c:pt>
                <c:pt idx="117">
                  <c:v>4.3099999999999999E-2</c:v>
                </c:pt>
                <c:pt idx="118">
                  <c:v>4.3099999999999999E-2</c:v>
                </c:pt>
                <c:pt idx="119">
                  <c:v>4.3099999999999999E-2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26D-47CF-9052-4DEB130DEC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2659504"/>
        <c:axId val="1092655184"/>
      </c:lineChart>
      <c:dateAx>
        <c:axId val="109265950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655184"/>
        <c:crosses val="autoZero"/>
        <c:auto val="1"/>
        <c:lblOffset val="100"/>
        <c:baseTimeUnit val="days"/>
      </c:dateAx>
      <c:valAx>
        <c:axId val="1092655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659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48</xdr:row>
      <xdr:rowOff>0</xdr:rowOff>
    </xdr:from>
    <xdr:to>
      <xdr:col>7</xdr:col>
      <xdr:colOff>9922</xdr:colOff>
      <xdr:row>66</xdr:row>
      <xdr:rowOff>19844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02112E5-94F1-4056-8505-360BDE7431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16</xdr:row>
      <xdr:rowOff>0</xdr:rowOff>
    </xdr:from>
    <xdr:to>
      <xdr:col>12</xdr:col>
      <xdr:colOff>6350</xdr:colOff>
      <xdr:row>35</xdr:row>
      <xdr:rowOff>50800</xdr:rowOff>
    </xdr:to>
    <xdr:graphicFrame macro="">
      <xdr:nvGraphicFramePr>
        <xdr:cNvPr id="13" name="Chart 1">
          <a:extLst>
            <a:ext uri="{FF2B5EF4-FFF2-40B4-BE49-F238E27FC236}">
              <a16:creationId xmlns:a16="http://schemas.microsoft.com/office/drawing/2014/main" id="{4F1DF820-4476-412D-8AA4-F9FAD70616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ullowoil.com/media/press-releases/2025-half-year-results/" TargetMode="External"/><Relationship Id="rId13" Type="http://schemas.openxmlformats.org/officeDocument/2006/relationships/hyperlink" Target="https://www.tullowoil.com/media/press-releases/sale-and-purchase-agreement-strategic-sale-kenya-assets-gulf-energy-ltd/" TargetMode="External"/><Relationship Id="rId18" Type="http://schemas.openxmlformats.org/officeDocument/2006/relationships/hyperlink" Target="https://www.tullowoil.com/application/files/9516/4811/6186/Tullow_Oil_plc_2021_Annual_Report_and_Account_Index.pdf" TargetMode="External"/><Relationship Id="rId26" Type="http://schemas.openxmlformats.org/officeDocument/2006/relationships/hyperlink" Target="https://pages.stern.nyu.edu/~adamodar/pdfiles/eqnotes/valpacket1spr25.pdf?utm_source=chatgpt.com" TargetMode="External"/><Relationship Id="rId3" Type="http://schemas.openxmlformats.org/officeDocument/2006/relationships/hyperlink" Target="https://www.tullowoil.com/media/press-releases/government-ghana-tullow-kosmos-energy-petrosa-ghana-national-petroleum-company-gnpc-and-explorco-sign-memorandum-understanding-e/" TargetMode="External"/><Relationship Id="rId21" Type="http://schemas.openxmlformats.org/officeDocument/2006/relationships/hyperlink" Target="https://okea.no/wp-content/uploads/2025/09/okea-credit-investor-presentation-june-2025.pdf" TargetMode="External"/><Relationship Id="rId7" Type="http://schemas.openxmlformats.org/officeDocument/2006/relationships/hyperlink" Target="https://www.tullowoil.com/media/press-releases/2025-half-year-results/" TargetMode="External"/><Relationship Id="rId12" Type="http://schemas.openxmlformats.org/officeDocument/2006/relationships/hyperlink" Target="https://www.tullowoil.com/application/files/8317/5446/3320/Tullow_Oil_Plc_-_2025_HY_Report_-_FINAL.pdf" TargetMode="External"/><Relationship Id="rId17" Type="http://schemas.openxmlformats.org/officeDocument/2006/relationships/hyperlink" Target="https://www.tullowoil.com/application/files/7217/2300/9943/Tullow_Oil_Plc-_2024_HY_Report_.pdf" TargetMode="External"/><Relationship Id="rId25" Type="http://schemas.openxmlformats.org/officeDocument/2006/relationships/hyperlink" Target="https://www.gma-cpa.com/blog/understanding-the-company-specific-risk-premium-a-guide-for-attorneys" TargetMode="External"/><Relationship Id="rId2" Type="http://schemas.openxmlformats.org/officeDocument/2006/relationships/hyperlink" Target="https://www.tullowoil.com/application/files/2717/5449/2389/Tullow_2025_HY_Results_Presentation_WEBSITE_VERSION_1.pdf" TargetMode="External"/><Relationship Id="rId16" Type="http://schemas.openxmlformats.org/officeDocument/2006/relationships/hyperlink" Target="https://www.tullowoil.com/application/files/7217/2300/9943/Tullow_Oil_Plc-_2024_HY_Report_.pdf" TargetMode="External"/><Relationship Id="rId20" Type="http://schemas.openxmlformats.org/officeDocument/2006/relationships/hyperlink" Target="https://www.dno.no/media/yl5esnu3/2024-annual-report.pdf" TargetMode="External"/><Relationship Id="rId29" Type="http://schemas.openxmlformats.org/officeDocument/2006/relationships/printerSettings" Target="../printerSettings/printerSettings3.bin"/><Relationship Id="rId1" Type="http://schemas.openxmlformats.org/officeDocument/2006/relationships/hyperlink" Target="https://www.tullowoil.com/media/press-releases/2025-half-year-results/" TargetMode="External"/><Relationship Id="rId6" Type="http://schemas.openxmlformats.org/officeDocument/2006/relationships/hyperlink" Target="https://www.tullowoil.com/media/press-releases/government-ghana-tullow-kosmos-energy-petrosa-ghana-national-petroleum-company-gnpc-and-explorco-sign-memorandum-understanding-e/" TargetMode="External"/><Relationship Id="rId11" Type="http://schemas.openxmlformats.org/officeDocument/2006/relationships/hyperlink" Target="https://www.tullowoil.com/media/press-releases/tullow-completes-sale-gabon-assets-gabon-oil-company/" TargetMode="External"/><Relationship Id="rId24" Type="http://schemas.openxmlformats.org/officeDocument/2006/relationships/hyperlink" Target="https://www.kroll.com/en/reports/cost-of-capital/recommended-eurozone-equity-risk-premium-corresponding-risk-free-rates" TargetMode="External"/><Relationship Id="rId5" Type="http://schemas.openxmlformats.org/officeDocument/2006/relationships/hyperlink" Target="https://www.tullowoil.com/application/files/8317/5446/3320/Tullow_Oil_Plc_-_2025_HY_Report_-_FINAL.pdf" TargetMode="External"/><Relationship Id="rId15" Type="http://schemas.openxmlformats.org/officeDocument/2006/relationships/hyperlink" Target="https://www.research-tree.com/newsfeed/article/tullow-oil-plc-full-year-results-2780094" TargetMode="External"/><Relationship Id="rId23" Type="http://schemas.openxmlformats.org/officeDocument/2006/relationships/hyperlink" Target="https://pages.stern.nyu.edu/~adamodar/pc/datasets/betaEurope.xls" TargetMode="External"/><Relationship Id="rId28" Type="http://schemas.openxmlformats.org/officeDocument/2006/relationships/hyperlink" Target="https://live.euronext.com/sites/default/files/company_press_releases/attachments_oslo/2024/02/15/610858_TGS%20Q4%202023%20Earnings%20Release.pdf" TargetMode="External"/><Relationship Id="rId10" Type="http://schemas.openxmlformats.org/officeDocument/2006/relationships/hyperlink" Target="https://www.tullowoil.com/media/press-releases/2025-half-year-results/" TargetMode="External"/><Relationship Id="rId19" Type="http://schemas.openxmlformats.org/officeDocument/2006/relationships/hyperlink" Target="https://www.tullowoil.com/application/files/9516/4811/6186/Tullow_Oil_plc_2021_Annual_Report_and_Account_Index.pdf" TargetMode="External"/><Relationship Id="rId4" Type="http://schemas.openxmlformats.org/officeDocument/2006/relationships/hyperlink" Target="https://www.tullowoil.com/application/files/2717/5449/2389/Tullow_2025_HY_Results_Presentation_WEBSITE_VERSION_1.pdf" TargetMode="External"/><Relationship Id="rId9" Type="http://schemas.openxmlformats.org/officeDocument/2006/relationships/hyperlink" Target="https://www.tullowoil.com/media/press-releases/2025-half-year-results/" TargetMode="External"/><Relationship Id="rId14" Type="http://schemas.openxmlformats.org/officeDocument/2006/relationships/hyperlink" Target="https://www.tullowoil.com/application/files/8317/5446/3320/Tullow_Oil_Plc_-_2025_HY_Report_-_FINAL.pdf" TargetMode="External"/><Relationship Id="rId22" Type="http://schemas.openxmlformats.org/officeDocument/2006/relationships/hyperlink" Target="https://www.energean.com/media/6026/2025-04-17_annual_report.pdf" TargetMode="External"/><Relationship Id="rId27" Type="http://schemas.openxmlformats.org/officeDocument/2006/relationships/hyperlink" Target="https://pages.stern.nyu.edu/~adamodar/New_Home_Page/datafile/ctryprem.html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35CC0-1497-4FAA-BE6A-F2A7C56B0C89}">
  <sheetPr>
    <tabColor rgb="FF104861"/>
  </sheetPr>
  <dimension ref="C2:AJ48"/>
  <sheetViews>
    <sheetView showGridLines="0" tabSelected="1" zoomScaleNormal="100" workbookViewId="0"/>
  </sheetViews>
  <sheetFormatPr defaultColWidth="8.7109375" defaultRowHeight="12.75" x14ac:dyDescent="0.2"/>
  <cols>
    <col min="1" max="2" width="1.5703125" style="6" customWidth="1"/>
    <col min="3" max="13" width="15.7109375" style="6" customWidth="1"/>
    <col min="14" max="17" width="8.7109375" style="6"/>
    <col min="18" max="18" width="9" style="6" bestFit="1" customWidth="1"/>
    <col min="19" max="25" width="8.7109375" style="6"/>
    <col min="26" max="26" width="28.5703125" style="6" bestFit="1" customWidth="1"/>
    <col min="27" max="30" width="15.5703125" style="6" customWidth="1"/>
    <col min="31" max="16384" width="8.7109375" style="6"/>
  </cols>
  <sheetData>
    <row r="2" spans="3:36" x14ac:dyDescent="0.2">
      <c r="C2" s="472" t="s">
        <v>562</v>
      </c>
      <c r="D2" s="472"/>
      <c r="E2" s="472"/>
      <c r="F2" s="472"/>
      <c r="G2" s="472"/>
      <c r="H2" s="472"/>
      <c r="I2" s="472"/>
      <c r="J2" s="472"/>
      <c r="K2" s="472"/>
      <c r="L2" s="472"/>
    </row>
    <row r="3" spans="3:36" ht="5.0999999999999996" customHeight="1" x14ac:dyDescent="0.2">
      <c r="M3" s="22"/>
    </row>
    <row r="4" spans="3:36" x14ac:dyDescent="0.2">
      <c r="C4" s="473" t="s">
        <v>563</v>
      </c>
      <c r="D4" s="473"/>
      <c r="E4" s="473"/>
      <c r="F4" s="473"/>
      <c r="G4" s="473"/>
      <c r="H4" s="473"/>
      <c r="I4" s="473"/>
      <c r="J4" s="473"/>
      <c r="K4" s="473"/>
      <c r="L4" s="473"/>
      <c r="M4" s="473"/>
      <c r="AE4" s="505"/>
      <c r="AF4" s="505"/>
      <c r="AG4" s="505"/>
      <c r="AH4" s="505"/>
      <c r="AI4" s="505"/>
      <c r="AJ4" s="505"/>
    </row>
    <row r="5" spans="3:36" x14ac:dyDescent="0.2">
      <c r="C5" s="474" t="s">
        <v>572</v>
      </c>
      <c r="D5" s="474"/>
      <c r="E5" s="474"/>
      <c r="F5" s="474"/>
      <c r="G5" s="474"/>
      <c r="H5" s="474"/>
      <c r="I5" s="474"/>
      <c r="J5" s="477"/>
      <c r="K5" s="477" t="s">
        <v>427</v>
      </c>
      <c r="L5" s="477" t="s">
        <v>428</v>
      </c>
      <c r="M5" s="477" t="s">
        <v>347</v>
      </c>
    </row>
    <row r="6" spans="3:36" x14ac:dyDescent="0.2">
      <c r="C6" s="6" t="s">
        <v>436</v>
      </c>
      <c r="J6" s="507"/>
      <c r="K6" s="508">
        <f>'Liquidation Value'!L47</f>
        <v>633.48</v>
      </c>
      <c r="L6" s="509">
        <f>'Liquidation Value'!M47</f>
        <v>1305.0100000000002</v>
      </c>
      <c r="M6" s="510">
        <f>'Liquidation Value'!N47</f>
        <v>1431.9554535812767</v>
      </c>
    </row>
    <row r="7" spans="3:36" x14ac:dyDescent="0.2">
      <c r="C7" s="6" t="s">
        <v>350</v>
      </c>
      <c r="J7" s="507"/>
      <c r="K7" s="511">
        <f ca="1">DCF!T25</f>
        <v>2288.2377410431213</v>
      </c>
      <c r="L7" s="512">
        <f ca="1">DCF!U25</f>
        <v>2535.6915093578141</v>
      </c>
      <c r="M7" s="513">
        <f ca="1">DCF!V25</f>
        <v>2809.9751179873829</v>
      </c>
    </row>
    <row r="9" spans="3:36" x14ac:dyDescent="0.2">
      <c r="C9" s="474" t="s">
        <v>571</v>
      </c>
      <c r="D9" s="474"/>
      <c r="E9" s="474"/>
      <c r="F9" s="474"/>
      <c r="G9" s="474"/>
      <c r="H9" s="474"/>
      <c r="I9" s="474"/>
      <c r="J9" s="477"/>
      <c r="K9" s="477" t="s">
        <v>566</v>
      </c>
      <c r="L9" s="477" t="s">
        <v>567</v>
      </c>
      <c r="M9" s="477" t="s">
        <v>568</v>
      </c>
    </row>
    <row r="10" spans="3:36" x14ac:dyDescent="0.2">
      <c r="C10" s="6" t="s">
        <v>570</v>
      </c>
      <c r="J10" s="507"/>
      <c r="K10" s="508">
        <f>'Trading Comps'!E18*'Trading Comps'!R6</f>
        <v>2433.4560782999997</v>
      </c>
      <c r="L10" s="509">
        <f>'Trading Comps'!E19*'Trading Comps'!R6</f>
        <v>3910.4795222999996</v>
      </c>
      <c r="M10" s="510">
        <f>'Trading Comps'!E21*'Trading Comps'!R6</f>
        <v>5051.0745908999997</v>
      </c>
    </row>
    <row r="11" spans="3:36" x14ac:dyDescent="0.2">
      <c r="C11" s="6" t="s">
        <v>569</v>
      </c>
      <c r="J11" s="507"/>
      <c r="K11" s="511">
        <f>'Precedent Transactions '!G20*'Precedent Transactions '!$N$8</f>
        <v>1232.813312177708</v>
      </c>
      <c r="L11" s="512">
        <f>'Precedent Transactions '!G21*'Precedent Transactions '!N8</f>
        <v>1510.1717453697465</v>
      </c>
      <c r="M11" s="513">
        <f>'Precedent Transactions '!G23*'Precedent Transactions '!N8</f>
        <v>2592.4636573582538</v>
      </c>
    </row>
    <row r="13" spans="3:36" s="47" customFormat="1" x14ac:dyDescent="0.2">
      <c r="C13" s="475" t="s">
        <v>573</v>
      </c>
      <c r="D13" s="475"/>
      <c r="E13" s="475"/>
      <c r="F13" s="475"/>
      <c r="G13" s="475"/>
      <c r="H13" s="475"/>
      <c r="I13" s="475"/>
      <c r="J13" s="476"/>
      <c r="K13" s="476">
        <f ca="1">MIN(MIN(K6:M7),MIN(K10:M11))</f>
        <v>633.48</v>
      </c>
      <c r="L13" s="476" t="s">
        <v>574</v>
      </c>
      <c r="M13" s="476">
        <f ca="1">MAX(MAX(K6:M7),MAX(K10:M11))</f>
        <v>5051.0745908999997</v>
      </c>
    </row>
    <row r="15" spans="3:36" x14ac:dyDescent="0.2">
      <c r="C15" s="473" t="s">
        <v>579</v>
      </c>
      <c r="D15" s="473"/>
      <c r="E15" s="473"/>
      <c r="F15" s="473"/>
      <c r="G15" s="473"/>
      <c r="H15" s="473"/>
      <c r="I15" s="473"/>
      <c r="J15" s="473"/>
      <c r="K15" s="473"/>
      <c r="L15" s="473"/>
      <c r="M15" s="473"/>
    </row>
    <row r="16" spans="3:36" ht="13.5" thickBot="1" x14ac:dyDescent="0.25"/>
    <row r="17" spans="3:13" ht="13.5" thickBot="1" x14ac:dyDescent="0.25">
      <c r="C17" s="478" t="s">
        <v>575</v>
      </c>
      <c r="D17" s="479"/>
      <c r="E17" s="480"/>
      <c r="G17" s="478" t="s">
        <v>576</v>
      </c>
      <c r="H17" s="479"/>
      <c r="I17" s="480"/>
      <c r="K17" s="478" t="s">
        <v>557</v>
      </c>
      <c r="L17" s="479"/>
      <c r="M17" s="480"/>
    </row>
    <row r="19" spans="3:13" s="47" customFormat="1" x14ac:dyDescent="0.2">
      <c r="C19" s="472" t="s">
        <v>577</v>
      </c>
      <c r="D19" s="472"/>
      <c r="E19" s="472"/>
      <c r="G19" s="481" t="s">
        <v>427</v>
      </c>
      <c r="H19" s="481" t="s">
        <v>428</v>
      </c>
      <c r="I19" s="481" t="s">
        <v>347</v>
      </c>
      <c r="K19" s="481" t="s">
        <v>427</v>
      </c>
      <c r="L19" s="481" t="s">
        <v>428</v>
      </c>
      <c r="M19" s="481" t="s">
        <v>347</v>
      </c>
    </row>
    <row r="20" spans="3:13" x14ac:dyDescent="0.2">
      <c r="C20" s="6" t="s">
        <v>578</v>
      </c>
      <c r="E20" s="50">
        <f>'Trading Comps'!$R$6</f>
        <v>666.9</v>
      </c>
      <c r="G20" s="514">
        <f>'Trading Comps'!E18</f>
        <v>3.6489069999999999</v>
      </c>
      <c r="H20" s="514">
        <f>'Trading Comps'!E19</f>
        <v>5.8636669999999995</v>
      </c>
      <c r="I20" s="514">
        <f>'Trading Comps'!E21</f>
        <v>7.5739609999999997</v>
      </c>
      <c r="K20" s="6">
        <f>$E20*G20</f>
        <v>2433.4560782999997</v>
      </c>
      <c r="L20" s="6">
        <f>$E20*H20</f>
        <v>3910.4795222999996</v>
      </c>
      <c r="M20" s="6">
        <f>$E20*I20</f>
        <v>5051.0745908999997</v>
      </c>
    </row>
    <row r="22" spans="3:13" x14ac:dyDescent="0.2">
      <c r="C22" s="473" t="s">
        <v>580</v>
      </c>
      <c r="D22" s="473"/>
      <c r="E22" s="473"/>
      <c r="F22" s="473"/>
      <c r="G22" s="473"/>
      <c r="H22" s="473"/>
      <c r="I22" s="473"/>
      <c r="J22" s="473"/>
      <c r="K22" s="473"/>
      <c r="L22" s="473"/>
      <c r="M22" s="473"/>
    </row>
    <row r="23" spans="3:13" ht="13.5" thickBot="1" x14ac:dyDescent="0.25"/>
    <row r="24" spans="3:13" ht="13.5" thickBot="1" x14ac:dyDescent="0.25">
      <c r="C24" s="478" t="s">
        <v>575</v>
      </c>
      <c r="D24" s="479"/>
      <c r="E24" s="480"/>
      <c r="G24" s="478" t="s">
        <v>576</v>
      </c>
      <c r="H24" s="479"/>
      <c r="I24" s="480"/>
      <c r="K24" s="478" t="s">
        <v>557</v>
      </c>
      <c r="L24" s="479"/>
      <c r="M24" s="480"/>
    </row>
    <row r="26" spans="3:13" x14ac:dyDescent="0.2">
      <c r="C26" s="472" t="s">
        <v>577</v>
      </c>
      <c r="D26" s="472"/>
      <c r="E26" s="472"/>
      <c r="F26" s="47"/>
      <c r="G26" s="481" t="s">
        <v>427</v>
      </c>
      <c r="H26" s="481" t="s">
        <v>428</v>
      </c>
      <c r="I26" s="481" t="s">
        <v>347</v>
      </c>
      <c r="J26" s="47"/>
      <c r="K26" s="481" t="s">
        <v>427</v>
      </c>
      <c r="L26" s="481" t="s">
        <v>428</v>
      </c>
      <c r="M26" s="481" t="s">
        <v>347</v>
      </c>
    </row>
    <row r="27" spans="3:13" x14ac:dyDescent="0.2">
      <c r="C27" s="6" t="s">
        <v>578</v>
      </c>
      <c r="E27" s="50">
        <f>'Trading Comps'!$R$6</f>
        <v>666.9</v>
      </c>
      <c r="G27" s="514">
        <f>'Precedent Transactions '!G20</f>
        <v>1.8485729677278573</v>
      </c>
      <c r="H27" s="514">
        <f>'Precedent Transactions '!G21</f>
        <v>2.2644650552852701</v>
      </c>
      <c r="I27" s="514">
        <f>'Precedent Transactions '!G23</f>
        <v>3.8873349188157951</v>
      </c>
      <c r="K27" s="6">
        <f>$E27*G27</f>
        <v>1232.813312177708</v>
      </c>
      <c r="L27" s="6">
        <f>$E27*H27</f>
        <v>1510.1717453697465</v>
      </c>
      <c r="M27" s="6">
        <f>$E27*I27</f>
        <v>2592.4636573582538</v>
      </c>
    </row>
    <row r="29" spans="3:13" x14ac:dyDescent="0.2">
      <c r="C29" s="473" t="s">
        <v>350</v>
      </c>
      <c r="D29" s="473"/>
      <c r="E29" s="473"/>
      <c r="F29" s="473"/>
      <c r="G29" s="473"/>
      <c r="H29" s="473"/>
      <c r="I29" s="473"/>
      <c r="J29" s="473"/>
      <c r="K29" s="473"/>
      <c r="L29" s="473"/>
      <c r="M29" s="473"/>
    </row>
    <row r="30" spans="3:13" ht="13.5" thickBot="1" x14ac:dyDescent="0.25"/>
    <row r="31" spans="3:13" ht="13.5" thickBot="1" x14ac:dyDescent="0.25">
      <c r="C31" s="478" t="s">
        <v>575</v>
      </c>
      <c r="D31" s="479"/>
      <c r="E31" s="480"/>
      <c r="G31" s="478" t="s">
        <v>589</v>
      </c>
      <c r="H31" s="479"/>
      <c r="I31" s="480"/>
      <c r="K31" s="478" t="s">
        <v>557</v>
      </c>
      <c r="L31" s="479"/>
      <c r="M31" s="480"/>
    </row>
    <row r="33" spans="3:13" x14ac:dyDescent="0.2">
      <c r="C33" s="472" t="s">
        <v>577</v>
      </c>
      <c r="D33" s="472"/>
      <c r="E33" s="472"/>
      <c r="F33" s="47"/>
      <c r="G33" s="481" t="s">
        <v>427</v>
      </c>
      <c r="H33" s="481" t="s">
        <v>428</v>
      </c>
      <c r="I33" s="481" t="s">
        <v>347</v>
      </c>
      <c r="J33" s="47"/>
      <c r="K33" s="481" t="s">
        <v>427</v>
      </c>
      <c r="L33" s="481" t="s">
        <v>428</v>
      </c>
      <c r="M33" s="481" t="s">
        <v>347</v>
      </c>
    </row>
    <row r="34" spans="3:13" x14ac:dyDescent="0.2">
      <c r="C34" s="6" t="s">
        <v>578</v>
      </c>
      <c r="E34" s="50">
        <f>'Trading Comps'!$R$6</f>
        <v>666.9</v>
      </c>
      <c r="F34" s="50"/>
      <c r="G34" s="515">
        <f>DCF!J37</f>
        <v>0.24412793466334817</v>
      </c>
      <c r="H34" s="515">
        <f>DCF!K37</f>
        <v>0.20779361790837036</v>
      </c>
      <c r="I34" s="515">
        <f>DCF!L37</f>
        <v>0.17145930115339256</v>
      </c>
      <c r="K34" s="50">
        <f ca="1">DCF!T25</f>
        <v>2288.2377410431213</v>
      </c>
      <c r="L34" s="50">
        <f ca="1">DCF!U25</f>
        <v>2535.6915093578141</v>
      </c>
      <c r="M34" s="50">
        <f ca="1">DCF!V25</f>
        <v>2809.9751179873829</v>
      </c>
    </row>
    <row r="36" spans="3:13" x14ac:dyDescent="0.2">
      <c r="C36" s="473" t="s">
        <v>436</v>
      </c>
      <c r="D36" s="473"/>
      <c r="E36" s="473"/>
      <c r="F36" s="473"/>
      <c r="G36" s="473"/>
      <c r="H36" s="473"/>
      <c r="I36" s="473"/>
      <c r="J36" s="473"/>
      <c r="K36" s="473"/>
      <c r="L36" s="473"/>
      <c r="M36" s="473"/>
    </row>
    <row r="37" spans="3:13" ht="13.5" thickBot="1" x14ac:dyDescent="0.25"/>
    <row r="38" spans="3:13" ht="13.5" thickBot="1" x14ac:dyDescent="0.25">
      <c r="C38" s="478" t="s">
        <v>575</v>
      </c>
      <c r="D38" s="479"/>
      <c r="E38" s="480"/>
      <c r="G38" s="478" t="s">
        <v>581</v>
      </c>
      <c r="H38" s="479"/>
      <c r="I38" s="480"/>
      <c r="K38" s="478" t="s">
        <v>557</v>
      </c>
      <c r="L38" s="479"/>
      <c r="M38" s="480"/>
    </row>
    <row r="40" spans="3:13" x14ac:dyDescent="0.2">
      <c r="C40" s="472" t="s">
        <v>603</v>
      </c>
      <c r="D40" s="472"/>
      <c r="E40" s="472"/>
      <c r="F40" s="47"/>
      <c r="G40" s="481" t="s">
        <v>427</v>
      </c>
      <c r="H40" s="481" t="s">
        <v>428</v>
      </c>
      <c r="I40" s="481" t="s">
        <v>347</v>
      </c>
      <c r="J40" s="47"/>
      <c r="K40" s="481" t="s">
        <v>427</v>
      </c>
      <c r="L40" s="481" t="s">
        <v>428</v>
      </c>
      <c r="M40" s="481" t="s">
        <v>347</v>
      </c>
    </row>
    <row r="41" spans="3:13" x14ac:dyDescent="0.2">
      <c r="C41" s="6" t="s">
        <v>50</v>
      </c>
      <c r="E41" s="50">
        <f>+'Liquidation Value'!F19</f>
        <v>3872.1</v>
      </c>
      <c r="G41" s="515">
        <f>AVERAGE('Liquidation Value'!H9:H18)</f>
        <v>0.39499999999999996</v>
      </c>
      <c r="H41" s="515">
        <f>AVERAGE('Liquidation Value'!I9:I18)</f>
        <v>0.58499999999999996</v>
      </c>
      <c r="I41" s="515">
        <f>AVERAGE('Liquidation Value'!J9:J18)</f>
        <v>0.77500000000000002</v>
      </c>
      <c r="K41" s="50">
        <f>'Liquidation Value'!L47</f>
        <v>633.48</v>
      </c>
      <c r="L41" s="50">
        <f>'Liquidation Value'!M47</f>
        <v>1305.0100000000002</v>
      </c>
      <c r="M41" s="50">
        <f>'Liquidation Value'!N47</f>
        <v>1431.9554535812767</v>
      </c>
    </row>
    <row r="43" spans="3:13" x14ac:dyDescent="0.2">
      <c r="C43" s="387" t="s">
        <v>582</v>
      </c>
      <c r="D43" s="258"/>
      <c r="E43" s="258"/>
      <c r="F43" s="258"/>
      <c r="G43" s="304"/>
    </row>
    <row r="44" spans="3:13" x14ac:dyDescent="0.2">
      <c r="C44" s="398" t="s">
        <v>584</v>
      </c>
      <c r="D44" s="398" t="s">
        <v>585</v>
      </c>
      <c r="E44" s="398" t="s">
        <v>586</v>
      </c>
      <c r="F44" s="398" t="s">
        <v>587</v>
      </c>
      <c r="G44" s="398" t="s">
        <v>588</v>
      </c>
    </row>
    <row r="45" spans="3:13" x14ac:dyDescent="0.2">
      <c r="C45" s="6" t="s">
        <v>436</v>
      </c>
      <c r="D45" s="6">
        <f>MIN($K$41:$M$41)</f>
        <v>633.48</v>
      </c>
      <c r="E45" s="6">
        <f>D45</f>
        <v>633.48</v>
      </c>
      <c r="F45" s="6">
        <f>MAX($K$41:$M$41)</f>
        <v>1431.9554535812767</v>
      </c>
      <c r="G45" s="6">
        <f>F45</f>
        <v>1431.9554535812767</v>
      </c>
    </row>
    <row r="46" spans="3:13" x14ac:dyDescent="0.2">
      <c r="C46" s="6" t="s">
        <v>564</v>
      </c>
      <c r="D46" s="6">
        <f ca="1">MIN($K$34:$M$34)</f>
        <v>2288.2377410431213</v>
      </c>
      <c r="E46" s="6">
        <f ca="1">D46</f>
        <v>2288.2377410431213</v>
      </c>
      <c r="F46" s="6">
        <f ca="1">MAX($K$34:$M$34)</f>
        <v>2809.9751179873829</v>
      </c>
      <c r="G46" s="6">
        <f ca="1">F46</f>
        <v>2809.9751179873829</v>
      </c>
    </row>
    <row r="47" spans="3:13" x14ac:dyDescent="0.2">
      <c r="C47" s="6" t="s">
        <v>565</v>
      </c>
      <c r="D47" s="6">
        <f>MIN($K$27:$M$27)</f>
        <v>1232.813312177708</v>
      </c>
      <c r="E47" s="6">
        <f>D47</f>
        <v>1232.813312177708</v>
      </c>
      <c r="F47" s="6">
        <f>MAX($K$27:$M$27)</f>
        <v>2592.4636573582538</v>
      </c>
      <c r="G47" s="6">
        <f>F47</f>
        <v>2592.4636573582538</v>
      </c>
    </row>
    <row r="48" spans="3:13" x14ac:dyDescent="0.2">
      <c r="C48" s="6" t="s">
        <v>583</v>
      </c>
      <c r="D48" s="6">
        <f>MIN($K$20:$M$20)</f>
        <v>2433.4560782999997</v>
      </c>
      <c r="E48" s="6">
        <f>D48</f>
        <v>2433.4560782999997</v>
      </c>
      <c r="F48" s="6">
        <f>MAX($K$20:$M$20)</f>
        <v>5051.0745908999997</v>
      </c>
      <c r="G48" s="6">
        <f>F48</f>
        <v>5051.0745908999997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0.59999389629810485"/>
  </sheetPr>
  <dimension ref="C1:X86"/>
  <sheetViews>
    <sheetView showGridLines="0" zoomScaleNormal="100" workbookViewId="0"/>
  </sheetViews>
  <sheetFormatPr defaultColWidth="8.7109375" defaultRowHeight="12.75" outlineLevelRow="1" x14ac:dyDescent="0.2"/>
  <cols>
    <col min="1" max="2" width="1.5703125" style="2" customWidth="1"/>
    <col min="3" max="3" width="36.42578125" style="2" bestFit="1" customWidth="1"/>
    <col min="4" max="4" width="9" style="2" bestFit="1" customWidth="1"/>
    <col min="5" max="9" width="8.7109375" style="2" bestFit="1"/>
    <col min="10" max="17" width="8.7109375" style="2" customWidth="1"/>
    <col min="18" max="18" width="8.7109375" style="2" bestFit="1"/>
    <col min="19" max="16384" width="8.7109375" style="2"/>
  </cols>
  <sheetData>
    <row r="1" spans="3:24" x14ac:dyDescent="0.2">
      <c r="D1" s="245">
        <v>2019</v>
      </c>
      <c r="E1" s="56">
        <f>D1+1</f>
        <v>2020</v>
      </c>
      <c r="F1" s="56">
        <f t="shared" ref="F1:N1" si="0">E1+1</f>
        <v>2021</v>
      </c>
      <c r="G1" s="56">
        <f t="shared" si="0"/>
        <v>2022</v>
      </c>
      <c r="H1" s="56">
        <f t="shared" si="0"/>
        <v>2023</v>
      </c>
      <c r="I1" s="153">
        <f t="shared" si="0"/>
        <v>2024</v>
      </c>
      <c r="J1" s="136">
        <f t="shared" si="0"/>
        <v>2025</v>
      </c>
      <c r="K1" s="57">
        <f t="shared" si="0"/>
        <v>2026</v>
      </c>
      <c r="L1" s="57">
        <f t="shared" si="0"/>
        <v>2027</v>
      </c>
      <c r="M1" s="57">
        <f t="shared" si="0"/>
        <v>2028</v>
      </c>
      <c r="N1" s="57">
        <f t="shared" si="0"/>
        <v>2029</v>
      </c>
      <c r="O1" s="57">
        <f>N1+1</f>
        <v>2030</v>
      </c>
      <c r="P1" s="57">
        <f>O1+1</f>
        <v>2031</v>
      </c>
      <c r="Q1" s="58">
        <f>P1+1</f>
        <v>2032</v>
      </c>
      <c r="T1" s="19"/>
      <c r="U1" s="173"/>
      <c r="V1" s="174"/>
      <c r="W1" s="175"/>
      <c r="X1" s="5"/>
    </row>
    <row r="2" spans="3:24" x14ac:dyDescent="0.2">
      <c r="C2" s="3" t="s">
        <v>108</v>
      </c>
      <c r="D2" s="3"/>
      <c r="E2" s="3"/>
      <c r="F2" s="3"/>
      <c r="G2" s="3"/>
      <c r="H2" s="3"/>
      <c r="I2" s="12"/>
      <c r="J2" s="106"/>
      <c r="K2" s="3"/>
      <c r="L2" s="3"/>
      <c r="M2" s="3"/>
      <c r="N2" s="3"/>
      <c r="O2" s="3"/>
      <c r="P2" s="3"/>
      <c r="Q2" s="3"/>
      <c r="W2" s="24"/>
      <c r="X2" s="18"/>
    </row>
    <row r="3" spans="3:24" ht="5.0999999999999996" customHeight="1" x14ac:dyDescent="0.2">
      <c r="I3" s="13"/>
      <c r="J3" s="59"/>
    </row>
    <row r="4" spans="3:24" x14ac:dyDescent="0.2">
      <c r="C4" s="1" t="s">
        <v>107</v>
      </c>
      <c r="D4" s="1"/>
      <c r="E4" s="1"/>
      <c r="F4" s="1"/>
      <c r="G4" s="1"/>
      <c r="H4" s="1"/>
      <c r="I4" s="14"/>
      <c r="J4" s="339"/>
      <c r="K4" s="1"/>
      <c r="L4" s="1"/>
      <c r="M4" s="1"/>
      <c r="N4" s="1"/>
      <c r="O4" s="1"/>
      <c r="P4" s="1"/>
      <c r="Q4" s="1"/>
    </row>
    <row r="5" spans="3:24" x14ac:dyDescent="0.2">
      <c r="C5" s="18" t="s">
        <v>70</v>
      </c>
      <c r="D5" s="45">
        <v>1682.6</v>
      </c>
      <c r="E5" s="45">
        <v>1396.1</v>
      </c>
      <c r="F5" s="45">
        <v>1285.4000000000001</v>
      </c>
      <c r="G5" s="45">
        <v>1783.1</v>
      </c>
      <c r="H5" s="45">
        <v>1634.1</v>
      </c>
      <c r="I5" s="46">
        <v>1534.9</v>
      </c>
      <c r="J5" s="253">
        <f>'Revenue Build'!J5</f>
        <v>1145.7349999999999</v>
      </c>
      <c r="K5" s="145">
        <f>'Revenue Build'!K5</f>
        <v>996.45</v>
      </c>
      <c r="L5" s="145">
        <f>'Revenue Build'!L5</f>
        <v>1003.64415</v>
      </c>
      <c r="M5" s="145">
        <f>'Revenue Build'!M5</f>
        <v>986.08400000000017</v>
      </c>
      <c r="N5" s="145">
        <f>'Revenue Build'!N5</f>
        <v>967.85955000000013</v>
      </c>
      <c r="O5" s="145">
        <f>'Revenue Build'!O5</f>
        <v>948.97080000000017</v>
      </c>
      <c r="P5" s="145">
        <f>'Revenue Build'!P5</f>
        <v>917.82900000000029</v>
      </c>
      <c r="Q5" s="145">
        <f>'Revenue Build'!Q5</f>
        <v>885.76739999999995</v>
      </c>
    </row>
    <row r="6" spans="3:24" x14ac:dyDescent="0.2">
      <c r="C6" s="8" t="s">
        <v>88</v>
      </c>
      <c r="D6" s="24">
        <v>0</v>
      </c>
      <c r="E6" s="176">
        <f t="shared" ref="E6:Q6" si="1">(E5-D5)/D5</f>
        <v>-0.17027219778913588</v>
      </c>
      <c r="F6" s="176">
        <f t="shared" si="1"/>
        <v>-7.9292314304132819E-2</v>
      </c>
      <c r="G6" s="176">
        <f t="shared" si="1"/>
        <v>0.38719464758051952</v>
      </c>
      <c r="H6" s="176">
        <f t="shared" si="1"/>
        <v>-8.3562335258818912E-2</v>
      </c>
      <c r="I6" s="177">
        <f t="shared" si="1"/>
        <v>-6.0706199131020024E-2</v>
      </c>
      <c r="J6" s="340">
        <f t="shared" si="1"/>
        <v>-0.25354420483419127</v>
      </c>
      <c r="K6" s="176">
        <f t="shared" si="1"/>
        <v>-0.13029627269831145</v>
      </c>
      <c r="L6" s="176">
        <f t="shared" si="1"/>
        <v>7.2197802197801414E-3</v>
      </c>
      <c r="M6" s="176">
        <f t="shared" si="1"/>
        <v>-1.7496390528455523E-2</v>
      </c>
      <c r="N6" s="176">
        <f t="shared" si="1"/>
        <v>-1.8481640509327851E-2</v>
      </c>
      <c r="O6" s="176">
        <f t="shared" si="1"/>
        <v>-1.9516003122560455E-2</v>
      </c>
      <c r="P6" s="176">
        <f t="shared" si="1"/>
        <v>-3.2816394350595267E-2</v>
      </c>
      <c r="Q6" s="176">
        <f t="shared" si="1"/>
        <v>-3.4931997136721904E-2</v>
      </c>
    </row>
    <row r="7" spans="3:24" x14ac:dyDescent="0.2">
      <c r="D7" s="4"/>
      <c r="E7" s="4"/>
      <c r="F7" s="4"/>
      <c r="G7" s="4"/>
      <c r="H7" s="4"/>
      <c r="I7" s="11"/>
      <c r="J7" s="134"/>
      <c r="K7" s="4"/>
      <c r="L7" s="4"/>
      <c r="M7" s="4"/>
      <c r="N7" s="4"/>
      <c r="O7" s="4"/>
      <c r="P7" s="4"/>
      <c r="Q7" s="4"/>
    </row>
    <row r="8" spans="3:24" x14ac:dyDescent="0.2">
      <c r="C8" s="2" t="s">
        <v>71</v>
      </c>
      <c r="D8" s="19">
        <v>-970.9</v>
      </c>
      <c r="E8" s="19">
        <v>-993.6</v>
      </c>
      <c r="F8" s="19">
        <v>-631</v>
      </c>
      <c r="G8" s="19">
        <v>-682.8</v>
      </c>
      <c r="H8" s="19">
        <v>-843.3</v>
      </c>
      <c r="I8" s="19">
        <v>-772.6</v>
      </c>
      <c r="J8" s="178">
        <f t="shared" ref="J8:Q8" si="2">-J$5*J63</f>
        <v>-607.61498101462621</v>
      </c>
      <c r="K8" s="179">
        <f t="shared" si="2"/>
        <v>-528.44501375276513</v>
      </c>
      <c r="L8" s="179">
        <f t="shared" si="2"/>
        <v>-532.26027061029879</v>
      </c>
      <c r="M8" s="179">
        <f t="shared" si="2"/>
        <v>-522.94763705291962</v>
      </c>
      <c r="N8" s="179">
        <f t="shared" si="2"/>
        <v>-513.28270681970514</v>
      </c>
      <c r="O8" s="179">
        <f t="shared" si="2"/>
        <v>-503.26547991065547</v>
      </c>
      <c r="P8" s="179">
        <f t="shared" si="2"/>
        <v>-486.75012145886581</v>
      </c>
      <c r="Q8" s="179">
        <f t="shared" si="2"/>
        <v>-469.74696760976565</v>
      </c>
    </row>
    <row r="9" spans="3:24" x14ac:dyDescent="0.2">
      <c r="C9" s="116" t="s">
        <v>91</v>
      </c>
      <c r="D9" s="180">
        <f t="shared" ref="D9:M9" si="3">D5+D8</f>
        <v>711.69999999999993</v>
      </c>
      <c r="E9" s="180">
        <f t="shared" si="3"/>
        <v>402.49999999999989</v>
      </c>
      <c r="F9" s="180">
        <f t="shared" si="3"/>
        <v>654.40000000000009</v>
      </c>
      <c r="G9" s="180">
        <f t="shared" si="3"/>
        <v>1100.3</v>
      </c>
      <c r="H9" s="180">
        <f t="shared" si="3"/>
        <v>790.8</v>
      </c>
      <c r="I9" s="180">
        <f t="shared" si="3"/>
        <v>762.30000000000007</v>
      </c>
      <c r="J9" s="181">
        <f>J5+J8</f>
        <v>538.12001898537369</v>
      </c>
      <c r="K9" s="180">
        <f t="shared" si="3"/>
        <v>468.00498624723491</v>
      </c>
      <c r="L9" s="180">
        <f t="shared" si="3"/>
        <v>471.38387938970118</v>
      </c>
      <c r="M9" s="180">
        <f t="shared" si="3"/>
        <v>463.13636294708056</v>
      </c>
      <c r="N9" s="180">
        <f t="shared" ref="N9:Q9" si="4">N5+N8</f>
        <v>454.57684318029499</v>
      </c>
      <c r="O9" s="180">
        <f t="shared" si="4"/>
        <v>445.7053200893447</v>
      </c>
      <c r="P9" s="180">
        <f t="shared" si="4"/>
        <v>431.07887854113449</v>
      </c>
      <c r="Q9" s="180">
        <f t="shared" si="4"/>
        <v>416.0204323902343</v>
      </c>
    </row>
    <row r="10" spans="3:24" x14ac:dyDescent="0.2">
      <c r="C10" s="8" t="s">
        <v>90</v>
      </c>
      <c r="D10" s="176">
        <f t="shared" ref="D10:I10" si="5">D9/D$5</f>
        <v>0.42297634613098772</v>
      </c>
      <c r="E10" s="176">
        <f t="shared" si="5"/>
        <v>0.28830313014827014</v>
      </c>
      <c r="F10" s="176">
        <f t="shared" si="5"/>
        <v>0.50910222498833047</v>
      </c>
      <c r="G10" s="176">
        <f t="shared" si="5"/>
        <v>0.61707139251864729</v>
      </c>
      <c r="H10" s="176">
        <f t="shared" si="5"/>
        <v>0.4839361116210758</v>
      </c>
      <c r="I10" s="176">
        <f t="shared" si="5"/>
        <v>0.49664473255586683</v>
      </c>
      <c r="J10" s="340">
        <f>J9/J$5</f>
        <v>0.46967232299386308</v>
      </c>
      <c r="K10" s="176">
        <f t="shared" ref="K10:Q10" si="6">K9/K$5</f>
        <v>0.46967232299386308</v>
      </c>
      <c r="L10" s="176">
        <f t="shared" si="6"/>
        <v>0.46967232299386313</v>
      </c>
      <c r="M10" s="176">
        <f t="shared" si="6"/>
        <v>0.46967232299386308</v>
      </c>
      <c r="N10" s="176">
        <f t="shared" si="6"/>
        <v>0.46967232299386302</v>
      </c>
      <c r="O10" s="176">
        <f t="shared" si="6"/>
        <v>0.46967232299386308</v>
      </c>
      <c r="P10" s="176">
        <f t="shared" si="6"/>
        <v>0.46967232299386308</v>
      </c>
      <c r="Q10" s="176">
        <f t="shared" si="6"/>
        <v>0.46967232299386308</v>
      </c>
    </row>
    <row r="11" spans="3:24" x14ac:dyDescent="0.2">
      <c r="D11" s="6"/>
      <c r="E11" s="6"/>
      <c r="F11" s="6"/>
      <c r="G11" s="6"/>
      <c r="H11" s="6"/>
      <c r="I11" s="6"/>
      <c r="J11" s="15"/>
      <c r="K11" s="6"/>
      <c r="L11" s="6"/>
      <c r="M11" s="6"/>
      <c r="N11" s="6"/>
      <c r="O11" s="6"/>
      <c r="P11" s="6"/>
      <c r="Q11" s="6"/>
    </row>
    <row r="12" spans="3:24" x14ac:dyDescent="0.2">
      <c r="C12" s="2" t="s">
        <v>72</v>
      </c>
      <c r="D12" s="19">
        <v>-111.5</v>
      </c>
      <c r="E12" s="19">
        <v>-86.7</v>
      </c>
      <c r="F12" s="19">
        <v>-64.099999999999994</v>
      </c>
      <c r="G12" s="19">
        <v>-51</v>
      </c>
      <c r="H12" s="19">
        <v>-56.1</v>
      </c>
      <c r="I12" s="19">
        <v>-53.2</v>
      </c>
      <c r="J12" s="178">
        <f t="shared" ref="J12:Q12" si="7">-J$5*J66</f>
        <v>-52.67110735062451</v>
      </c>
      <c r="K12" s="179">
        <f t="shared" si="7"/>
        <v>-45.8082583839455</v>
      </c>
      <c r="L12" s="179">
        <f t="shared" si="7"/>
        <v>-46.138983941728483</v>
      </c>
      <c r="M12" s="179">
        <f t="shared" si="7"/>
        <v>-45.331718260097865</v>
      </c>
      <c r="N12" s="179">
        <f t="shared" si="7"/>
        <v>-44.493913739544602</v>
      </c>
      <c r="O12" s="179">
        <f t="shared" si="7"/>
        <v>-43.625570380068716</v>
      </c>
      <c r="P12" s="179">
        <f t="shared" si="7"/>
        <v>-42.193936458706737</v>
      </c>
      <c r="Q12" s="179">
        <f t="shared" si="7"/>
        <v>-40.720017991144161</v>
      </c>
    </row>
    <row r="13" spans="3:24" x14ac:dyDescent="0.2">
      <c r="C13" s="2" t="s">
        <v>73</v>
      </c>
      <c r="D13" s="19">
        <v>0</v>
      </c>
      <c r="E13" s="19">
        <v>0</v>
      </c>
      <c r="F13" s="19">
        <v>0</v>
      </c>
      <c r="G13" s="19">
        <v>0</v>
      </c>
      <c r="H13" s="19">
        <v>0</v>
      </c>
      <c r="I13" s="19">
        <v>-6.6</v>
      </c>
      <c r="J13" s="182">
        <v>0</v>
      </c>
      <c r="K13" s="179">
        <f t="shared" ref="K13:Q13" si="8">J13</f>
        <v>0</v>
      </c>
      <c r="L13" s="179">
        <f t="shared" si="8"/>
        <v>0</v>
      </c>
      <c r="M13" s="179">
        <f t="shared" si="8"/>
        <v>0</v>
      </c>
      <c r="N13" s="179">
        <f t="shared" si="8"/>
        <v>0</v>
      </c>
      <c r="O13" s="179">
        <f t="shared" si="8"/>
        <v>0</v>
      </c>
      <c r="P13" s="179">
        <f t="shared" si="8"/>
        <v>0</v>
      </c>
      <c r="Q13" s="179">
        <f t="shared" si="8"/>
        <v>0</v>
      </c>
    </row>
    <row r="14" spans="3:24" x14ac:dyDescent="0.2">
      <c r="C14" s="2" t="s">
        <v>3</v>
      </c>
      <c r="D14" s="19">
        <v>0</v>
      </c>
      <c r="E14" s="19">
        <v>0</v>
      </c>
      <c r="F14" s="19">
        <v>-114.2</v>
      </c>
      <c r="G14" s="19">
        <v>-496.4</v>
      </c>
      <c r="H14" s="19">
        <v>-27</v>
      </c>
      <c r="I14" s="19">
        <v>-212.6</v>
      </c>
      <c r="J14" s="178">
        <f>-J71</f>
        <v>-155.32414709123088</v>
      </c>
      <c r="K14" s="179">
        <f t="shared" ref="K14:Q14" si="9">J14</f>
        <v>-155.32414709123088</v>
      </c>
      <c r="L14" s="179">
        <f t="shared" si="9"/>
        <v>-155.32414709123088</v>
      </c>
      <c r="M14" s="179">
        <f t="shared" si="9"/>
        <v>-155.32414709123088</v>
      </c>
      <c r="N14" s="179">
        <f t="shared" si="9"/>
        <v>-155.32414709123088</v>
      </c>
      <c r="O14" s="179">
        <f t="shared" si="9"/>
        <v>-155.32414709123088</v>
      </c>
      <c r="P14" s="179">
        <f t="shared" si="9"/>
        <v>-155.32414709123088</v>
      </c>
      <c r="Q14" s="179">
        <f t="shared" si="9"/>
        <v>-155.32414709123088</v>
      </c>
    </row>
    <row r="15" spans="3:24" x14ac:dyDescent="0.2">
      <c r="C15" s="2" t="s">
        <v>74</v>
      </c>
      <c r="D15" s="19">
        <v>-17.8</v>
      </c>
      <c r="E15" s="19">
        <v>-38.9</v>
      </c>
      <c r="F15" s="19">
        <v>-7.6</v>
      </c>
      <c r="G15" s="19">
        <v>-7</v>
      </c>
      <c r="H15" s="19">
        <v>12.1</v>
      </c>
      <c r="I15" s="19">
        <v>59</v>
      </c>
      <c r="J15" s="178">
        <f>J74</f>
        <v>-44.040891914782712</v>
      </c>
      <c r="K15" s="179">
        <f>J15</f>
        <v>-44.040891914782712</v>
      </c>
      <c r="L15" s="179">
        <f t="shared" ref="L15:Q15" si="10">K15</f>
        <v>-44.040891914782712</v>
      </c>
      <c r="M15" s="179">
        <f t="shared" si="10"/>
        <v>-44.040891914782712</v>
      </c>
      <c r="N15" s="179">
        <f t="shared" si="10"/>
        <v>-44.040891914782712</v>
      </c>
      <c r="O15" s="179">
        <f t="shared" si="10"/>
        <v>-44.040891914782712</v>
      </c>
      <c r="P15" s="179">
        <f t="shared" si="10"/>
        <v>-44.040891914782712</v>
      </c>
      <c r="Q15" s="179">
        <f t="shared" si="10"/>
        <v>-44.040891914782712</v>
      </c>
    </row>
    <row r="16" spans="3:24" x14ac:dyDescent="0.2">
      <c r="I16" s="13"/>
      <c r="J16" s="59"/>
    </row>
    <row r="17" spans="3:17" x14ac:dyDescent="0.2">
      <c r="C17" s="2" t="s">
        <v>96</v>
      </c>
      <c r="D17" s="179">
        <f t="shared" ref="D17:I17" si="11">SUM(D12:D15)</f>
        <v>-129.30000000000001</v>
      </c>
      <c r="E17" s="179">
        <f t="shared" si="11"/>
        <v>-125.6</v>
      </c>
      <c r="F17" s="179">
        <f t="shared" si="11"/>
        <v>-185.9</v>
      </c>
      <c r="G17" s="179">
        <f t="shared" si="11"/>
        <v>-554.4</v>
      </c>
      <c r="H17" s="179">
        <f t="shared" si="11"/>
        <v>-71</v>
      </c>
      <c r="I17" s="179">
        <f t="shared" si="11"/>
        <v>-213.39999999999998</v>
      </c>
      <c r="J17" s="178">
        <f>SUM(J12:J15)</f>
        <v>-252.03614635663811</v>
      </c>
      <c r="K17" s="179">
        <f>SUM(K12:K15)</f>
        <v>-245.17329738995909</v>
      </c>
      <c r="L17" s="179">
        <f>SUM(L12:L15)</f>
        <v>-245.5040229477421</v>
      </c>
      <c r="M17" s="179">
        <f t="shared" ref="M17:Q17" si="12">SUM(M12:M15)</f>
        <v>-244.69675726611146</v>
      </c>
      <c r="N17" s="179">
        <f t="shared" si="12"/>
        <v>-243.85895274555821</v>
      </c>
      <c r="O17" s="179">
        <f t="shared" si="12"/>
        <v>-242.99060938608233</v>
      </c>
      <c r="P17" s="179">
        <f t="shared" si="12"/>
        <v>-241.55897546472033</v>
      </c>
      <c r="Q17" s="179">
        <f t="shared" si="12"/>
        <v>-240.08505699715778</v>
      </c>
    </row>
    <row r="18" spans="3:17" x14ac:dyDescent="0.2">
      <c r="C18" s="116" t="s">
        <v>98</v>
      </c>
      <c r="D18" s="180">
        <f t="shared" ref="D18:M18" si="13">D9+D17</f>
        <v>582.39999999999986</v>
      </c>
      <c r="E18" s="180">
        <f t="shared" si="13"/>
        <v>276.89999999999986</v>
      </c>
      <c r="F18" s="180">
        <f t="shared" si="13"/>
        <v>468.50000000000011</v>
      </c>
      <c r="G18" s="180">
        <f t="shared" si="13"/>
        <v>545.9</v>
      </c>
      <c r="H18" s="180">
        <f t="shared" si="13"/>
        <v>719.8</v>
      </c>
      <c r="I18" s="180">
        <f t="shared" si="13"/>
        <v>548.90000000000009</v>
      </c>
      <c r="J18" s="181">
        <f>J9+J17</f>
        <v>286.08387262873555</v>
      </c>
      <c r="K18" s="180">
        <f t="shared" si="13"/>
        <v>222.83168885727582</v>
      </c>
      <c r="L18" s="180">
        <f t="shared" si="13"/>
        <v>225.87985644195908</v>
      </c>
      <c r="M18" s="180">
        <f t="shared" si="13"/>
        <v>218.43960568096909</v>
      </c>
      <c r="N18" s="180">
        <f t="shared" ref="N18:Q18" si="14">N9+N17</f>
        <v>210.71789043473677</v>
      </c>
      <c r="O18" s="180">
        <f t="shared" si="14"/>
        <v>202.71471070326237</v>
      </c>
      <c r="P18" s="180">
        <f t="shared" si="14"/>
        <v>189.51990307641415</v>
      </c>
      <c r="Q18" s="180">
        <f t="shared" si="14"/>
        <v>175.93537539307653</v>
      </c>
    </row>
    <row r="19" spans="3:17" x14ac:dyDescent="0.2">
      <c r="C19" s="8" t="s">
        <v>99</v>
      </c>
      <c r="D19" s="176">
        <f>D18/D$5</f>
        <v>0.3461309877570426</v>
      </c>
      <c r="E19" s="176">
        <f t="shared" ref="E19:Q19" si="15">E18/E$5</f>
        <v>0.19833822792063596</v>
      </c>
      <c r="F19" s="176">
        <f t="shared" si="15"/>
        <v>0.36447798350707955</v>
      </c>
      <c r="G19" s="176">
        <f t="shared" si="15"/>
        <v>0.3061522068308003</v>
      </c>
      <c r="H19" s="176">
        <f t="shared" si="15"/>
        <v>0.44048711829141424</v>
      </c>
      <c r="I19" s="177">
        <f t="shared" si="15"/>
        <v>0.35761287380285367</v>
      </c>
      <c r="J19" s="340">
        <f t="shared" si="15"/>
        <v>0.24969462626936909</v>
      </c>
      <c r="K19" s="176">
        <f t="shared" si="15"/>
        <v>0.22362555959383393</v>
      </c>
      <c r="L19" s="176">
        <f t="shared" si="15"/>
        <v>0.22505970511755494</v>
      </c>
      <c r="M19" s="176">
        <f t="shared" si="15"/>
        <v>0.22152231014900259</v>
      </c>
      <c r="N19" s="176">
        <f t="shared" si="15"/>
        <v>0.21771536007960737</v>
      </c>
      <c r="O19" s="176">
        <f t="shared" si="15"/>
        <v>0.21361533010632397</v>
      </c>
      <c r="P19" s="176">
        <f t="shared" si="15"/>
        <v>0.20648715945607962</v>
      </c>
      <c r="Q19" s="176">
        <f t="shared" si="15"/>
        <v>0.19862480307254088</v>
      </c>
    </row>
    <row r="20" spans="3:17" x14ac:dyDescent="0.2">
      <c r="C20" s="7"/>
      <c r="D20" s="6"/>
      <c r="E20" s="6"/>
      <c r="F20" s="6"/>
      <c r="G20" s="6"/>
      <c r="H20" s="6"/>
      <c r="I20" s="6"/>
      <c r="J20" s="15"/>
      <c r="K20" s="6"/>
      <c r="L20" s="6"/>
      <c r="M20" s="6"/>
      <c r="N20" s="6"/>
      <c r="O20" s="6"/>
      <c r="P20" s="6"/>
      <c r="Q20" s="6"/>
    </row>
    <row r="21" spans="3:17" x14ac:dyDescent="0.2">
      <c r="C21" s="2" t="s">
        <v>75</v>
      </c>
      <c r="D21" s="19">
        <v>-305.3</v>
      </c>
      <c r="E21" s="19">
        <v>-300.39999999999998</v>
      </c>
      <c r="F21" s="19">
        <v>-329.4</v>
      </c>
      <c r="G21" s="19">
        <v>-329.2</v>
      </c>
      <c r="H21" s="19">
        <v>-317.60000000000002</v>
      </c>
      <c r="I21" s="19">
        <v>-331.2</v>
      </c>
      <c r="J21" s="156">
        <f ca="1">-'Debt Schedule'!J54</f>
        <v>-204.87244657972244</v>
      </c>
      <c r="K21" s="50">
        <f ca="1">-'Debt Schedule'!K54</f>
        <v>-129.59312354750935</v>
      </c>
      <c r="L21" s="50">
        <f ca="1">-'Debt Schedule'!L54</f>
        <v>-95.73</v>
      </c>
      <c r="M21" s="50">
        <f ca="1">-'Debt Schedule'!M54</f>
        <v>-82.966000000000008</v>
      </c>
      <c r="N21" s="50">
        <f ca="1">-'Debt Schedule'!N54</f>
        <v>-70.201999999999998</v>
      </c>
      <c r="O21" s="50">
        <f ca="1">-'Debt Schedule'!O54</f>
        <v>-57.438000000000017</v>
      </c>
      <c r="P21" s="50">
        <f ca="1">-'Debt Schedule'!P54</f>
        <v>-44.674000000000007</v>
      </c>
      <c r="Q21" s="50">
        <f ca="1">-'Debt Schedule'!Q54</f>
        <v>-19.146000000000004</v>
      </c>
    </row>
    <row r="22" spans="3:17" x14ac:dyDescent="0.2">
      <c r="C22" s="2" t="s">
        <v>76</v>
      </c>
      <c r="D22" s="19">
        <v>50</v>
      </c>
      <c r="E22" s="19">
        <v>40.6</v>
      </c>
      <c r="F22" s="19">
        <v>38.799999999999997</v>
      </c>
      <c r="G22" s="19">
        <v>29.6</v>
      </c>
      <c r="H22" s="19">
        <v>30.1</v>
      </c>
      <c r="I22" s="19">
        <v>48.1</v>
      </c>
      <c r="J22" s="178">
        <f>I22</f>
        <v>48.1</v>
      </c>
      <c r="K22" s="179">
        <f t="shared" ref="K22:Q22" si="16">J22</f>
        <v>48.1</v>
      </c>
      <c r="L22" s="179">
        <f t="shared" si="16"/>
        <v>48.1</v>
      </c>
      <c r="M22" s="179">
        <f t="shared" si="16"/>
        <v>48.1</v>
      </c>
      <c r="N22" s="179">
        <f t="shared" si="16"/>
        <v>48.1</v>
      </c>
      <c r="O22" s="179">
        <f t="shared" si="16"/>
        <v>48.1</v>
      </c>
      <c r="P22" s="179">
        <f t="shared" si="16"/>
        <v>48.1</v>
      </c>
      <c r="Q22" s="179">
        <f t="shared" si="16"/>
        <v>48.1</v>
      </c>
    </row>
    <row r="23" spans="3:17" x14ac:dyDescent="0.2">
      <c r="C23" s="21" t="s">
        <v>92</v>
      </c>
      <c r="D23" s="183">
        <f t="shared" ref="D23:I23" si="17">SUM(D21:D22)</f>
        <v>-255.3</v>
      </c>
      <c r="E23" s="183">
        <f t="shared" si="17"/>
        <v>-259.79999999999995</v>
      </c>
      <c r="F23" s="183">
        <f t="shared" si="17"/>
        <v>-290.59999999999997</v>
      </c>
      <c r="G23" s="183">
        <f t="shared" si="17"/>
        <v>-299.59999999999997</v>
      </c>
      <c r="H23" s="183">
        <f t="shared" si="17"/>
        <v>-287.5</v>
      </c>
      <c r="I23" s="183">
        <f t="shared" si="17"/>
        <v>-283.09999999999997</v>
      </c>
      <c r="J23" s="184">
        <f ca="1">SUM(J21:J22)</f>
        <v>-156.77244657972244</v>
      </c>
      <c r="K23" s="183">
        <f t="shared" ref="K23" ca="1" si="18">SUM(K21:K22)</f>
        <v>-81.493123547509356</v>
      </c>
      <c r="L23" s="183">
        <f t="shared" ref="L23" ca="1" si="19">SUM(L21:L22)</f>
        <v>-47.63</v>
      </c>
      <c r="M23" s="183">
        <f t="shared" ref="M23" ca="1" si="20">SUM(M21:M22)</f>
        <v>-34.866000000000007</v>
      </c>
      <c r="N23" s="183">
        <f t="shared" ref="N23:Q23" ca="1" si="21">SUM(N21:N22)</f>
        <v>-22.101999999999997</v>
      </c>
      <c r="O23" s="183">
        <f t="shared" ca="1" si="21"/>
        <v>-9.3380000000000152</v>
      </c>
      <c r="P23" s="183">
        <f t="shared" ca="1" si="21"/>
        <v>3.4259999999999948</v>
      </c>
      <c r="Q23" s="183">
        <f t="shared" ca="1" si="21"/>
        <v>28.953999999999997</v>
      </c>
    </row>
    <row r="24" spans="3:17" x14ac:dyDescent="0.2">
      <c r="D24" s="6"/>
      <c r="E24" s="6"/>
      <c r="F24" s="6"/>
      <c r="G24" s="6"/>
      <c r="H24" s="6"/>
      <c r="I24" s="6"/>
      <c r="J24" s="15"/>
      <c r="K24" s="6"/>
      <c r="L24" s="6"/>
      <c r="M24" s="6"/>
      <c r="N24" s="6"/>
      <c r="O24" s="6"/>
      <c r="P24" s="6"/>
      <c r="Q24" s="6"/>
    </row>
    <row r="25" spans="3:17" x14ac:dyDescent="0.2">
      <c r="C25" s="2" t="s">
        <v>77</v>
      </c>
      <c r="D25" s="19">
        <v>4.8</v>
      </c>
      <c r="E25" s="19">
        <v>18</v>
      </c>
      <c r="F25" s="19">
        <v>-13.6</v>
      </c>
      <c r="G25" s="19">
        <v>13.8</v>
      </c>
      <c r="H25" s="19">
        <v>11.6</v>
      </c>
      <c r="I25" s="19">
        <v>20.399999999999999</v>
      </c>
      <c r="J25" s="182">
        <v>0</v>
      </c>
      <c r="K25" s="19">
        <v>0</v>
      </c>
      <c r="L25" s="19">
        <v>0</v>
      </c>
      <c r="M25" s="19">
        <v>0</v>
      </c>
      <c r="N25" s="19">
        <v>0</v>
      </c>
      <c r="O25" s="19">
        <v>0</v>
      </c>
      <c r="P25" s="19">
        <v>0</v>
      </c>
      <c r="Q25" s="19">
        <v>0</v>
      </c>
    </row>
    <row r="26" spans="3:17" x14ac:dyDescent="0.2">
      <c r="C26" s="116" t="s">
        <v>94</v>
      </c>
      <c r="D26" s="180">
        <f t="shared" ref="D26:M26" si="22">D18+D23+D25</f>
        <v>331.89999999999986</v>
      </c>
      <c r="E26" s="180">
        <f t="shared" si="22"/>
        <v>35.099999999999909</v>
      </c>
      <c r="F26" s="180">
        <f t="shared" si="22"/>
        <v>164.30000000000015</v>
      </c>
      <c r="G26" s="180">
        <f t="shared" si="22"/>
        <v>260.10000000000002</v>
      </c>
      <c r="H26" s="180">
        <f t="shared" si="22"/>
        <v>443.9</v>
      </c>
      <c r="I26" s="180">
        <f t="shared" si="22"/>
        <v>286.2000000000001</v>
      </c>
      <c r="J26" s="181">
        <f ca="1">J18+J23+J25</f>
        <v>129.31142604901311</v>
      </c>
      <c r="K26" s="180">
        <f t="shared" ca="1" si="22"/>
        <v>141.33856530976647</v>
      </c>
      <c r="L26" s="180">
        <f t="shared" ca="1" si="22"/>
        <v>178.24985644195908</v>
      </c>
      <c r="M26" s="180">
        <f t="shared" ca="1" si="22"/>
        <v>183.57360568096908</v>
      </c>
      <c r="N26" s="180">
        <f t="shared" ref="N26:Q26" ca="1" si="23">N18+N23+N25</f>
        <v>188.61589043473677</v>
      </c>
      <c r="O26" s="180">
        <f t="shared" ca="1" si="23"/>
        <v>193.37671070326235</v>
      </c>
      <c r="P26" s="180">
        <f t="shared" ca="1" si="23"/>
        <v>192.94590307641414</v>
      </c>
      <c r="Q26" s="180">
        <f t="shared" ca="1" si="23"/>
        <v>204.88937539307653</v>
      </c>
    </row>
    <row r="27" spans="3:17" x14ac:dyDescent="0.2">
      <c r="D27" s="25"/>
      <c r="E27" s="25"/>
      <c r="F27" s="25"/>
      <c r="G27" s="25"/>
      <c r="H27" s="25"/>
      <c r="I27" s="25"/>
      <c r="J27" s="15"/>
      <c r="K27" s="6"/>
      <c r="L27" s="6"/>
      <c r="M27" s="6"/>
      <c r="N27" s="6"/>
      <c r="O27" s="6"/>
      <c r="P27" s="6"/>
      <c r="Q27" s="6"/>
    </row>
    <row r="28" spans="3:17" x14ac:dyDescent="0.2">
      <c r="C28" s="2" t="s">
        <v>78</v>
      </c>
      <c r="D28" s="19">
        <v>-4.2</v>
      </c>
      <c r="E28" s="19">
        <v>-67.8</v>
      </c>
      <c r="F28" s="19">
        <v>-3.1</v>
      </c>
      <c r="G28" s="19">
        <v>-0.1</v>
      </c>
      <c r="H28" s="19">
        <v>0</v>
      </c>
      <c r="I28" s="19">
        <v>-7.1</v>
      </c>
      <c r="J28" s="178">
        <f>I28</f>
        <v>-7.1</v>
      </c>
      <c r="K28" s="179">
        <f>J28</f>
        <v>-7.1</v>
      </c>
      <c r="L28" s="179">
        <f t="shared" ref="L28:Q29" si="24">K28</f>
        <v>-7.1</v>
      </c>
      <c r="M28" s="179">
        <f t="shared" si="24"/>
        <v>-7.1</v>
      </c>
      <c r="N28" s="179">
        <f t="shared" si="24"/>
        <v>-7.1</v>
      </c>
      <c r="O28" s="179">
        <f t="shared" si="24"/>
        <v>-7.1</v>
      </c>
      <c r="P28" s="179">
        <f t="shared" si="24"/>
        <v>-7.1</v>
      </c>
      <c r="Q28" s="179">
        <f t="shared" si="24"/>
        <v>-7.1</v>
      </c>
    </row>
    <row r="29" spans="3:17" x14ac:dyDescent="0.2">
      <c r="C29" s="2" t="s">
        <v>79</v>
      </c>
      <c r="D29" s="19">
        <v>0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78">
        <f>I29</f>
        <v>0</v>
      </c>
      <c r="K29" s="179">
        <f>J29</f>
        <v>0</v>
      </c>
      <c r="L29" s="179">
        <f t="shared" si="24"/>
        <v>0</v>
      </c>
      <c r="M29" s="179">
        <f t="shared" si="24"/>
        <v>0</v>
      </c>
      <c r="N29" s="179">
        <f t="shared" si="24"/>
        <v>0</v>
      </c>
      <c r="O29" s="179">
        <f t="shared" si="24"/>
        <v>0</v>
      </c>
      <c r="P29" s="179">
        <f t="shared" si="24"/>
        <v>0</v>
      </c>
      <c r="Q29" s="179">
        <f t="shared" si="24"/>
        <v>0</v>
      </c>
    </row>
    <row r="30" spans="3:17" x14ac:dyDescent="0.2">
      <c r="C30" s="2" t="s">
        <v>80</v>
      </c>
      <c r="D30" s="19">
        <v>6.6</v>
      </c>
      <c r="E30" s="19">
        <v>-3.4</v>
      </c>
      <c r="F30" s="19">
        <v>120.3</v>
      </c>
      <c r="G30" s="19">
        <v>0</v>
      </c>
      <c r="H30" s="19">
        <v>0</v>
      </c>
      <c r="I30" s="19">
        <v>0</v>
      </c>
      <c r="J30" s="156">
        <f>+'Forecast Assumptions'!D89</f>
        <v>142.43333333333334</v>
      </c>
      <c r="K30" s="50">
        <f>+'Forecast Assumptions'!E89</f>
        <v>3.63333333333334</v>
      </c>
      <c r="L30" s="50">
        <f>+'Forecast Assumptions'!F89</f>
        <v>0</v>
      </c>
      <c r="M30" s="50">
        <f>+'Forecast Assumptions'!G89</f>
        <v>0.72666666666666746</v>
      </c>
      <c r="N30" s="50">
        <f>+'Forecast Assumptions'!H89</f>
        <v>0.72666666666666746</v>
      </c>
      <c r="O30" s="50">
        <f>+'Forecast Assumptions'!I89</f>
        <v>0.72666666666666746</v>
      </c>
      <c r="P30" s="50">
        <f>+'Forecast Assumptions'!J89</f>
        <v>0.72666666666666746</v>
      </c>
      <c r="Q30" s="50">
        <f>+'Forecast Assumptions'!K89</f>
        <v>0.72666666666666746</v>
      </c>
    </row>
    <row r="31" spans="3:17" x14ac:dyDescent="0.2">
      <c r="C31" s="2" t="s">
        <v>138</v>
      </c>
      <c r="D31" s="19">
        <v>-2034.6</v>
      </c>
      <c r="E31" s="19">
        <v>-1237.3</v>
      </c>
      <c r="F31" s="19">
        <v>0</v>
      </c>
      <c r="G31" s="19">
        <v>0</v>
      </c>
      <c r="H31" s="19">
        <v>-408.1</v>
      </c>
      <c r="I31" s="19">
        <v>50.7</v>
      </c>
      <c r="J31" s="182">
        <v>0</v>
      </c>
      <c r="K31" s="179">
        <f t="shared" ref="K31:Q31" si="25">J31</f>
        <v>0</v>
      </c>
      <c r="L31" s="179">
        <f t="shared" si="25"/>
        <v>0</v>
      </c>
      <c r="M31" s="179">
        <f t="shared" si="25"/>
        <v>0</v>
      </c>
      <c r="N31" s="179">
        <f t="shared" si="25"/>
        <v>0</v>
      </c>
      <c r="O31" s="179">
        <f t="shared" si="25"/>
        <v>0</v>
      </c>
      <c r="P31" s="179">
        <f t="shared" si="25"/>
        <v>0</v>
      </c>
      <c r="Q31" s="179">
        <f t="shared" si="25"/>
        <v>0</v>
      </c>
    </row>
    <row r="32" spans="3:17" x14ac:dyDescent="0.2">
      <c r="C32" s="2" t="s">
        <v>81</v>
      </c>
      <c r="D32" s="19">
        <v>46.9</v>
      </c>
      <c r="E32" s="19">
        <v>0</v>
      </c>
      <c r="F32" s="19">
        <v>0</v>
      </c>
      <c r="G32" s="19">
        <v>0</v>
      </c>
      <c r="H32" s="19">
        <v>0</v>
      </c>
      <c r="I32" s="19">
        <v>0</v>
      </c>
      <c r="J32" s="178">
        <f>I32</f>
        <v>0</v>
      </c>
      <c r="K32" s="179">
        <f t="shared" ref="K32:Q32" si="26">J32</f>
        <v>0</v>
      </c>
      <c r="L32" s="179">
        <f t="shared" si="26"/>
        <v>0</v>
      </c>
      <c r="M32" s="179">
        <f t="shared" si="26"/>
        <v>0</v>
      </c>
      <c r="N32" s="179">
        <f t="shared" si="26"/>
        <v>0</v>
      </c>
      <c r="O32" s="179">
        <f t="shared" si="26"/>
        <v>0</v>
      </c>
      <c r="P32" s="179">
        <f t="shared" si="26"/>
        <v>0</v>
      </c>
      <c r="Q32" s="179">
        <f t="shared" si="26"/>
        <v>0</v>
      </c>
    </row>
    <row r="33" spans="3:19" x14ac:dyDescent="0.2">
      <c r="C33" s="2" t="s">
        <v>82</v>
      </c>
      <c r="D33" s="19">
        <v>0</v>
      </c>
      <c r="E33" s="19">
        <v>0</v>
      </c>
      <c r="F33" s="19">
        <v>-66.599999999999994</v>
      </c>
      <c r="G33" s="19">
        <v>182.1</v>
      </c>
      <c r="H33" s="19">
        <v>60.1</v>
      </c>
      <c r="I33" s="19">
        <v>-8.3000000000000007</v>
      </c>
      <c r="J33" s="182">
        <v>-65.400000000000006</v>
      </c>
      <c r="K33" s="19">
        <v>0</v>
      </c>
      <c r="L33" s="179">
        <f t="shared" ref="L33:Q33" si="27">K33</f>
        <v>0</v>
      </c>
      <c r="M33" s="179">
        <f t="shared" si="27"/>
        <v>0</v>
      </c>
      <c r="N33" s="179">
        <f t="shared" si="27"/>
        <v>0</v>
      </c>
      <c r="O33" s="179">
        <f t="shared" si="27"/>
        <v>0</v>
      </c>
      <c r="P33" s="179">
        <f t="shared" si="27"/>
        <v>0</v>
      </c>
      <c r="Q33" s="179">
        <f t="shared" si="27"/>
        <v>0</v>
      </c>
      <c r="S33" s="500"/>
    </row>
    <row r="34" spans="3:19" x14ac:dyDescent="0.2">
      <c r="C34" s="116" t="s">
        <v>93</v>
      </c>
      <c r="D34" s="180">
        <f t="shared" ref="D34:I34" si="28">SUM(D26:D33)</f>
        <v>-1653.3999999999999</v>
      </c>
      <c r="E34" s="180">
        <f t="shared" si="28"/>
        <v>-1273.4000000000001</v>
      </c>
      <c r="F34" s="180">
        <f t="shared" si="28"/>
        <v>214.90000000000018</v>
      </c>
      <c r="G34" s="180">
        <f t="shared" si="28"/>
        <v>442.1</v>
      </c>
      <c r="H34" s="180">
        <f t="shared" si="28"/>
        <v>95.899999999999949</v>
      </c>
      <c r="I34" s="185">
        <f t="shared" si="28"/>
        <v>321.50000000000006</v>
      </c>
      <c r="J34" s="181">
        <f ca="1">SUM(J28:J33)+J26</f>
        <v>199.24475938234644</v>
      </c>
      <c r="K34" s="180">
        <f t="shared" ref="K34:Q34" ca="1" si="29">SUM(K28:K33)+K26</f>
        <v>137.8718986430998</v>
      </c>
      <c r="L34" s="180">
        <f t="shared" ca="1" si="29"/>
        <v>171.14985644195909</v>
      </c>
      <c r="M34" s="180">
        <f t="shared" ca="1" si="29"/>
        <v>177.20027234763575</v>
      </c>
      <c r="N34" s="180">
        <f t="shared" ca="1" si="29"/>
        <v>182.24255710140343</v>
      </c>
      <c r="O34" s="180">
        <f t="shared" ca="1" si="29"/>
        <v>187.00337736992901</v>
      </c>
      <c r="P34" s="180">
        <f t="shared" ca="1" si="29"/>
        <v>186.57256974308081</v>
      </c>
      <c r="Q34" s="180">
        <f t="shared" ca="1" si="29"/>
        <v>198.5160420597432</v>
      </c>
    </row>
    <row r="35" spans="3:19" x14ac:dyDescent="0.2">
      <c r="D35" s="25"/>
      <c r="E35" s="25"/>
      <c r="F35" s="25"/>
      <c r="G35" s="25"/>
      <c r="H35" s="25"/>
      <c r="I35" s="25"/>
      <c r="J35" s="15"/>
      <c r="K35" s="6"/>
      <c r="L35" s="6"/>
      <c r="M35" s="6"/>
      <c r="N35" s="6"/>
      <c r="O35" s="6"/>
      <c r="P35" s="6"/>
      <c r="Q35" s="6"/>
    </row>
    <row r="36" spans="3:19" x14ac:dyDescent="0.2">
      <c r="C36" s="2" t="s">
        <v>83</v>
      </c>
      <c r="D36" s="19">
        <v>-40.700000000000003</v>
      </c>
      <c r="E36" s="19">
        <v>51.9</v>
      </c>
      <c r="F36" s="19">
        <v>-295.60000000000002</v>
      </c>
      <c r="G36" s="19">
        <v>-393</v>
      </c>
      <c r="H36" s="19">
        <v>-205.5</v>
      </c>
      <c r="I36" s="20">
        <v>-266.89999999999998</v>
      </c>
      <c r="J36" s="178">
        <f ca="1">-J34*J37</f>
        <v>-119.74610038879021</v>
      </c>
      <c r="K36" s="179">
        <f t="shared" ref="K36:Q36" ca="1" si="30">-K34*K37</f>
        <v>-82.861011084502977</v>
      </c>
      <c r="L36" s="179">
        <f t="shared" ca="1" si="30"/>
        <v>-102.86106372161741</v>
      </c>
      <c r="M36" s="179">
        <f t="shared" ca="1" si="30"/>
        <v>-106.49736368092908</v>
      </c>
      <c r="N36" s="179">
        <f t="shared" ca="1" si="30"/>
        <v>-109.52777681794346</v>
      </c>
      <c r="O36" s="179">
        <f t="shared" ca="1" si="30"/>
        <v>-112.38902979932733</v>
      </c>
      <c r="P36" s="179">
        <f t="shared" ca="1" si="30"/>
        <v>-112.13011441559156</v>
      </c>
      <c r="Q36" s="179">
        <f t="shared" ca="1" si="30"/>
        <v>-119.30814127790566</v>
      </c>
      <c r="R36" s="6"/>
    </row>
    <row r="37" spans="3:19" x14ac:dyDescent="0.2">
      <c r="C37" s="8" t="s">
        <v>291</v>
      </c>
      <c r="D37" s="24">
        <v>0.71599999999999997</v>
      </c>
      <c r="E37" s="24">
        <v>0.35599999999999998</v>
      </c>
      <c r="F37" s="24">
        <v>1.17</v>
      </c>
      <c r="G37" s="24">
        <v>0.70299999999999996</v>
      </c>
      <c r="H37" s="24">
        <v>0.70199999999999996</v>
      </c>
      <c r="I37" s="158">
        <v>0.60099999999999998</v>
      </c>
      <c r="J37" s="340">
        <f>I37</f>
        <v>0.60099999999999998</v>
      </c>
      <c r="K37" s="176">
        <f t="shared" ref="K37:Q37" si="31">J37</f>
        <v>0.60099999999999998</v>
      </c>
      <c r="L37" s="176">
        <f t="shared" si="31"/>
        <v>0.60099999999999998</v>
      </c>
      <c r="M37" s="176">
        <f t="shared" si="31"/>
        <v>0.60099999999999998</v>
      </c>
      <c r="N37" s="176">
        <f t="shared" si="31"/>
        <v>0.60099999999999998</v>
      </c>
      <c r="O37" s="176">
        <f t="shared" si="31"/>
        <v>0.60099999999999998</v>
      </c>
      <c r="P37" s="176">
        <f t="shared" si="31"/>
        <v>0.60099999999999998</v>
      </c>
      <c r="Q37" s="176">
        <f t="shared" si="31"/>
        <v>0.60099999999999998</v>
      </c>
    </row>
    <row r="38" spans="3:19" x14ac:dyDescent="0.2">
      <c r="C38" s="21" t="s">
        <v>95</v>
      </c>
      <c r="D38" s="183">
        <f t="shared" ref="D38:Q38" si="32">D34+D36</f>
        <v>-1694.1</v>
      </c>
      <c r="E38" s="183">
        <f t="shared" si="32"/>
        <v>-1221.5</v>
      </c>
      <c r="F38" s="183">
        <f t="shared" si="32"/>
        <v>-80.699999999999847</v>
      </c>
      <c r="G38" s="183">
        <f t="shared" si="32"/>
        <v>49.100000000000023</v>
      </c>
      <c r="H38" s="183">
        <f t="shared" si="32"/>
        <v>-109.60000000000005</v>
      </c>
      <c r="I38" s="186">
        <f t="shared" si="32"/>
        <v>54.60000000000008</v>
      </c>
      <c r="J38" s="184">
        <f t="shared" ca="1" si="32"/>
        <v>79.498658993556234</v>
      </c>
      <c r="K38" s="183">
        <f t="shared" ca="1" si="32"/>
        <v>55.010887558596821</v>
      </c>
      <c r="L38" s="183">
        <f t="shared" ca="1" si="32"/>
        <v>68.288792720341675</v>
      </c>
      <c r="M38" s="183">
        <f t="shared" ca="1" si="32"/>
        <v>70.702908666706662</v>
      </c>
      <c r="N38" s="183">
        <f t="shared" ca="1" si="32"/>
        <v>72.714780283459973</v>
      </c>
      <c r="O38" s="183">
        <f t="shared" ca="1" si="32"/>
        <v>74.61434757060168</v>
      </c>
      <c r="P38" s="183">
        <f t="shared" ca="1" si="32"/>
        <v>74.442455327489242</v>
      </c>
      <c r="Q38" s="183">
        <f t="shared" ca="1" si="32"/>
        <v>79.207900781837537</v>
      </c>
    </row>
    <row r="39" spans="3:19" x14ac:dyDescent="0.2">
      <c r="C39" s="26" t="s">
        <v>84</v>
      </c>
      <c r="D39" s="27">
        <v>0</v>
      </c>
      <c r="E39" s="27">
        <v>0</v>
      </c>
      <c r="F39" s="27">
        <v>0</v>
      </c>
      <c r="G39" s="27">
        <v>0</v>
      </c>
      <c r="H39" s="27">
        <v>0</v>
      </c>
      <c r="I39" s="27">
        <v>0</v>
      </c>
      <c r="J39" s="187">
        <v>0</v>
      </c>
      <c r="K39" s="188">
        <f>J39</f>
        <v>0</v>
      </c>
      <c r="L39" s="188">
        <f t="shared" ref="L39:Q39" si="33">K39</f>
        <v>0</v>
      </c>
      <c r="M39" s="188">
        <f t="shared" si="33"/>
        <v>0</v>
      </c>
      <c r="N39" s="188">
        <f t="shared" si="33"/>
        <v>0</v>
      </c>
      <c r="O39" s="188">
        <f t="shared" si="33"/>
        <v>0</v>
      </c>
      <c r="P39" s="188">
        <f t="shared" si="33"/>
        <v>0</v>
      </c>
      <c r="Q39" s="188">
        <f t="shared" si="33"/>
        <v>0</v>
      </c>
    </row>
    <row r="40" spans="3:19" ht="13.5" thickBot="1" x14ac:dyDescent="0.25">
      <c r="C40" s="144" t="s">
        <v>0</v>
      </c>
      <c r="D40" s="189">
        <f t="shared" ref="D40:Q40" si="34">D38</f>
        <v>-1694.1</v>
      </c>
      <c r="E40" s="189">
        <f t="shared" si="34"/>
        <v>-1221.5</v>
      </c>
      <c r="F40" s="189">
        <f t="shared" si="34"/>
        <v>-80.699999999999847</v>
      </c>
      <c r="G40" s="189">
        <f t="shared" si="34"/>
        <v>49.100000000000023</v>
      </c>
      <c r="H40" s="189">
        <f t="shared" si="34"/>
        <v>-109.60000000000005</v>
      </c>
      <c r="I40" s="190">
        <f t="shared" si="34"/>
        <v>54.60000000000008</v>
      </c>
      <c r="J40" s="341">
        <f t="shared" ca="1" si="34"/>
        <v>79.498658993556234</v>
      </c>
      <c r="K40" s="189">
        <f t="shared" ca="1" si="34"/>
        <v>55.010887558596821</v>
      </c>
      <c r="L40" s="189">
        <f t="shared" ca="1" si="34"/>
        <v>68.288792720341675</v>
      </c>
      <c r="M40" s="189">
        <f t="shared" ca="1" si="34"/>
        <v>70.702908666706662</v>
      </c>
      <c r="N40" s="189">
        <f ca="1">N38</f>
        <v>72.714780283459973</v>
      </c>
      <c r="O40" s="189">
        <f t="shared" ca="1" si="34"/>
        <v>74.61434757060168</v>
      </c>
      <c r="P40" s="189">
        <f t="shared" ca="1" si="34"/>
        <v>74.442455327489242</v>
      </c>
      <c r="Q40" s="189">
        <f t="shared" ca="1" si="34"/>
        <v>79.207900781837537</v>
      </c>
      <c r="R40" s="6"/>
    </row>
    <row r="41" spans="3:19" ht="13.5" thickTop="1" x14ac:dyDescent="0.2">
      <c r="C41" s="8" t="s">
        <v>97</v>
      </c>
      <c r="D41" s="176">
        <f t="shared" ref="D41" si="35">D40/D$5</f>
        <v>-1.0068346606442411</v>
      </c>
      <c r="E41" s="176">
        <f t="shared" ref="E41" si="36">E40/E$5</f>
        <v>-0.87493732540648961</v>
      </c>
      <c r="F41" s="176">
        <f t="shared" ref="F41" si="37">F40/F$5</f>
        <v>-6.2782013381048579E-2</v>
      </c>
      <c r="G41" s="176">
        <f t="shared" ref="G41" si="38">G40/G$5</f>
        <v>2.7536313162469871E-2</v>
      </c>
      <c r="H41" s="176">
        <f t="shared" ref="H41" si="39">H40/H$5</f>
        <v>-6.707055871733679E-2</v>
      </c>
      <c r="I41" s="191">
        <f t="shared" ref="I41" si="40">I40/I$5</f>
        <v>3.5572349990227424E-2</v>
      </c>
      <c r="J41" s="340">
        <f t="shared" ref="J41" ca="1" si="41">J40/J$5</f>
        <v>6.9386602480989268E-2</v>
      </c>
      <c r="K41" s="176">
        <f t="shared" ref="K41" ca="1" si="42">K40/K$5</f>
        <v>5.5206871954033634E-2</v>
      </c>
      <c r="L41" s="176">
        <f t="shared" ref="L41" ca="1" si="43">L40/L$5</f>
        <v>6.8040841687107598E-2</v>
      </c>
      <c r="M41" s="176">
        <f t="shared" ref="M41" ca="1" si="44">M40/M$5</f>
        <v>7.1700695545923718E-2</v>
      </c>
      <c r="N41" s="176">
        <f t="shared" ref="N41:Q41" ca="1" si="45">N40/N$5</f>
        <v>7.5129475432111986E-2</v>
      </c>
      <c r="O41" s="176">
        <f t="shared" ca="1" si="45"/>
        <v>7.8626600070941771E-2</v>
      </c>
      <c r="P41" s="176">
        <f t="shared" ca="1" si="45"/>
        <v>8.1107107454100075E-2</v>
      </c>
      <c r="Q41" s="176">
        <f t="shared" ca="1" si="45"/>
        <v>8.9422912586123102E-2</v>
      </c>
    </row>
    <row r="42" spans="3:19" x14ac:dyDescent="0.2">
      <c r="C42" s="8"/>
      <c r="D42" s="16"/>
      <c r="E42" s="16"/>
      <c r="F42" s="16"/>
      <c r="G42" s="16"/>
      <c r="H42" s="16"/>
      <c r="I42" s="17"/>
      <c r="J42" s="342"/>
      <c r="K42" s="16"/>
      <c r="L42" s="16"/>
      <c r="M42" s="16"/>
      <c r="N42" s="16"/>
      <c r="O42" s="16"/>
      <c r="P42" s="16"/>
      <c r="Q42" s="16"/>
    </row>
    <row r="43" spans="3:19" hidden="1" outlineLevel="1" x14ac:dyDescent="0.2">
      <c r="C43" s="30" t="s">
        <v>100</v>
      </c>
      <c r="D43" s="31">
        <v>-1694.1</v>
      </c>
      <c r="E43" s="31">
        <v>-1221.5</v>
      </c>
      <c r="F43" s="31">
        <v>-80.7</v>
      </c>
      <c r="G43" s="31">
        <v>49.1</v>
      </c>
      <c r="H43" s="31">
        <v>-109.6</v>
      </c>
      <c r="I43" s="32">
        <v>54.6</v>
      </c>
      <c r="J43" s="135"/>
      <c r="K43" s="33"/>
      <c r="L43" s="33"/>
      <c r="M43" s="33"/>
      <c r="N43" s="33"/>
      <c r="O43" s="33"/>
      <c r="P43" s="33"/>
      <c r="Q43" s="33"/>
    </row>
    <row r="44" spans="3:19" hidden="1" outlineLevel="1" x14ac:dyDescent="0.2">
      <c r="C44" s="30" t="s">
        <v>0</v>
      </c>
      <c r="D44" s="192">
        <f t="shared" ref="D44:I44" si="46">D40</f>
        <v>-1694.1</v>
      </c>
      <c r="E44" s="192">
        <f t="shared" si="46"/>
        <v>-1221.5</v>
      </c>
      <c r="F44" s="192">
        <f t="shared" si="46"/>
        <v>-80.699999999999847</v>
      </c>
      <c r="G44" s="192">
        <f t="shared" si="46"/>
        <v>49.100000000000023</v>
      </c>
      <c r="H44" s="192">
        <f t="shared" si="46"/>
        <v>-109.60000000000005</v>
      </c>
      <c r="I44" s="193">
        <f t="shared" si="46"/>
        <v>54.60000000000008</v>
      </c>
      <c r="J44" s="135"/>
      <c r="K44" s="33"/>
      <c r="L44" s="33"/>
      <c r="M44" s="33"/>
      <c r="N44" s="33"/>
      <c r="O44" s="33"/>
      <c r="P44" s="33"/>
      <c r="Q44" s="33"/>
    </row>
    <row r="45" spans="3:19" hidden="1" outlineLevel="1" x14ac:dyDescent="0.2">
      <c r="C45" s="30" t="s">
        <v>101</v>
      </c>
      <c r="D45" s="192">
        <f t="shared" ref="D45:I45" si="47">D43-D44</f>
        <v>0</v>
      </c>
      <c r="E45" s="192">
        <f t="shared" si="47"/>
        <v>0</v>
      </c>
      <c r="F45" s="194">
        <f t="shared" si="47"/>
        <v>-1.5631940186722204E-13</v>
      </c>
      <c r="G45" s="192">
        <f t="shared" si="47"/>
        <v>0</v>
      </c>
      <c r="H45" s="192">
        <f t="shared" si="47"/>
        <v>0</v>
      </c>
      <c r="I45" s="195">
        <f t="shared" si="47"/>
        <v>-7.815970093361102E-14</v>
      </c>
      <c r="J45" s="135"/>
      <c r="K45" s="33"/>
      <c r="L45" s="33"/>
      <c r="M45" s="33"/>
      <c r="N45" s="33"/>
      <c r="O45" s="33"/>
      <c r="P45" s="33"/>
      <c r="Q45" s="33"/>
    </row>
    <row r="46" spans="3:19" collapsed="1" x14ac:dyDescent="0.2">
      <c r="C46" s="18" t="s">
        <v>87</v>
      </c>
      <c r="D46" s="196">
        <f t="shared" ref="D46:Q46" si="48">D18</f>
        <v>582.39999999999986</v>
      </c>
      <c r="E46" s="196">
        <f t="shared" si="48"/>
        <v>276.89999999999986</v>
      </c>
      <c r="F46" s="196">
        <f t="shared" si="48"/>
        <v>468.50000000000011</v>
      </c>
      <c r="G46" s="196">
        <f t="shared" si="48"/>
        <v>545.9</v>
      </c>
      <c r="H46" s="196">
        <f t="shared" si="48"/>
        <v>719.8</v>
      </c>
      <c r="I46" s="197">
        <f t="shared" si="48"/>
        <v>548.90000000000009</v>
      </c>
      <c r="J46" s="343">
        <f t="shared" si="48"/>
        <v>286.08387262873555</v>
      </c>
      <c r="K46" s="196">
        <f t="shared" si="48"/>
        <v>222.83168885727582</v>
      </c>
      <c r="L46" s="196">
        <f t="shared" si="48"/>
        <v>225.87985644195908</v>
      </c>
      <c r="M46" s="196">
        <f t="shared" si="48"/>
        <v>218.43960568096909</v>
      </c>
      <c r="N46" s="196">
        <f t="shared" si="48"/>
        <v>210.71789043473677</v>
      </c>
      <c r="O46" s="196">
        <f t="shared" si="48"/>
        <v>202.71471070326237</v>
      </c>
      <c r="P46" s="196">
        <f t="shared" si="48"/>
        <v>189.51990307641415</v>
      </c>
      <c r="Q46" s="196">
        <f t="shared" si="48"/>
        <v>175.93537539307653</v>
      </c>
    </row>
    <row r="47" spans="3:19" x14ac:dyDescent="0.2">
      <c r="C47" s="8" t="s">
        <v>89</v>
      </c>
      <c r="D47" s="176">
        <f t="shared" ref="D47:Q47" si="49">D46/D$5</f>
        <v>0.3461309877570426</v>
      </c>
      <c r="E47" s="176">
        <f t="shared" si="49"/>
        <v>0.19833822792063596</v>
      </c>
      <c r="F47" s="176">
        <f t="shared" si="49"/>
        <v>0.36447798350707955</v>
      </c>
      <c r="G47" s="176">
        <f t="shared" si="49"/>
        <v>0.3061522068308003</v>
      </c>
      <c r="H47" s="176">
        <f t="shared" si="49"/>
        <v>0.44048711829141424</v>
      </c>
      <c r="I47" s="177">
        <f t="shared" si="49"/>
        <v>0.35761287380285367</v>
      </c>
      <c r="J47" s="340">
        <f t="shared" si="49"/>
        <v>0.24969462626936909</v>
      </c>
      <c r="K47" s="176">
        <f t="shared" si="49"/>
        <v>0.22362555959383393</v>
      </c>
      <c r="L47" s="176">
        <f t="shared" si="49"/>
        <v>0.22505970511755494</v>
      </c>
      <c r="M47" s="176">
        <f t="shared" si="49"/>
        <v>0.22152231014900259</v>
      </c>
      <c r="N47" s="176">
        <f t="shared" si="49"/>
        <v>0.21771536007960737</v>
      </c>
      <c r="O47" s="176">
        <f t="shared" si="49"/>
        <v>0.21361533010632397</v>
      </c>
      <c r="P47" s="176">
        <f t="shared" si="49"/>
        <v>0.20648715945607962</v>
      </c>
      <c r="Q47" s="176">
        <f t="shared" si="49"/>
        <v>0.19862480307254088</v>
      </c>
    </row>
    <row r="48" spans="3:19" x14ac:dyDescent="0.2">
      <c r="J48" s="59"/>
    </row>
    <row r="49" spans="3:19" outlineLevel="1" x14ac:dyDescent="0.2">
      <c r="C49" s="35" t="s">
        <v>1</v>
      </c>
      <c r="D49" s="36">
        <v>724.6</v>
      </c>
      <c r="E49" s="36">
        <v>467.1</v>
      </c>
      <c r="F49" s="36">
        <v>378.9</v>
      </c>
      <c r="G49" s="36">
        <v>425.8</v>
      </c>
      <c r="H49" s="36">
        <v>436.6</v>
      </c>
      <c r="I49" s="37">
        <v>444.2</v>
      </c>
      <c r="J49" s="344">
        <f>J78</f>
        <v>354.29339350527852</v>
      </c>
      <c r="K49" s="198">
        <f t="shared" ref="K49:Q49" si="50">K78</f>
        <v>308.13028488990454</v>
      </c>
      <c r="L49" s="198">
        <f t="shared" si="50"/>
        <v>310.35491782586791</v>
      </c>
      <c r="M49" s="198">
        <f t="shared" si="50"/>
        <v>304.92482698115981</v>
      </c>
      <c r="N49" s="198">
        <f t="shared" si="50"/>
        <v>299.28931594652499</v>
      </c>
      <c r="O49" s="198">
        <f t="shared" si="50"/>
        <v>293.44838472196363</v>
      </c>
      <c r="P49" s="198">
        <f t="shared" si="50"/>
        <v>283.81846680738249</v>
      </c>
      <c r="Q49" s="198">
        <f t="shared" si="50"/>
        <v>273.9041209375182</v>
      </c>
    </row>
    <row r="50" spans="3:19" outlineLevel="1" x14ac:dyDescent="0.2">
      <c r="C50" s="35" t="s">
        <v>103</v>
      </c>
      <c r="D50" s="36">
        <v>16.3</v>
      </c>
      <c r="E50" s="36">
        <v>13.1</v>
      </c>
      <c r="F50" s="36">
        <v>7.6</v>
      </c>
      <c r="G50" s="36">
        <v>6</v>
      </c>
      <c r="H50" s="36">
        <v>10.1</v>
      </c>
      <c r="I50" s="37">
        <v>11.4</v>
      </c>
      <c r="J50" s="344">
        <f>J80</f>
        <v>11.765894435145167</v>
      </c>
      <c r="K50" s="198">
        <f t="shared" ref="K50:Q50" si="51">K80</f>
        <v>9.1354774898315263</v>
      </c>
      <c r="L50" s="198">
        <f t="shared" si="51"/>
        <v>7.8027432798517431</v>
      </c>
      <c r="M50" s="198">
        <f t="shared" si="51"/>
        <v>10.870797779695749</v>
      </c>
      <c r="N50" s="198">
        <f t="shared" si="51"/>
        <v>10.706372288206472</v>
      </c>
      <c r="O50" s="198">
        <f t="shared" si="51"/>
        <v>10.151356075329621</v>
      </c>
      <c r="P50" s="198">
        <f t="shared" si="51"/>
        <v>7.4221956556099729</v>
      </c>
      <c r="Q50" s="198">
        <f t="shared" si="51"/>
        <v>6.3696526741779103</v>
      </c>
    </row>
    <row r="51" spans="3:19" outlineLevel="1" x14ac:dyDescent="0.2">
      <c r="C51" s="35" t="s">
        <v>104</v>
      </c>
      <c r="D51" s="36">
        <v>-85.9</v>
      </c>
      <c r="E51" s="36">
        <v>-72.400000000000006</v>
      </c>
      <c r="F51" s="36">
        <v>-60.6</v>
      </c>
      <c r="G51" s="36">
        <v>-60.9</v>
      </c>
      <c r="H51" s="36">
        <v>-81.400000000000006</v>
      </c>
      <c r="I51" s="37">
        <v>-91.4</v>
      </c>
      <c r="J51" s="344">
        <f>J82</f>
        <v>-82.327026257700581</v>
      </c>
      <c r="K51" s="198">
        <f t="shared" ref="K51:Q51" si="52">K82</f>
        <v>-67.814923284265461</v>
      </c>
      <c r="L51" s="198">
        <f t="shared" si="52"/>
        <v>-61.734135177418516</v>
      </c>
      <c r="M51" s="198">
        <f t="shared" si="52"/>
        <v>-85.899472932418519</v>
      </c>
      <c r="N51" s="198">
        <f t="shared" si="52"/>
        <v>-82.539922142341595</v>
      </c>
      <c r="O51" s="198">
        <f t="shared" si="52"/>
        <v>-77.707690826138816</v>
      </c>
      <c r="P51" s="198">
        <f t="shared" si="52"/>
        <v>-56.301905557452507</v>
      </c>
      <c r="Q51" s="198">
        <f t="shared" si="52"/>
        <v>-49.001179362385699</v>
      </c>
    </row>
    <row r="52" spans="3:19" outlineLevel="1" x14ac:dyDescent="0.2">
      <c r="C52" s="35" t="s">
        <v>105</v>
      </c>
      <c r="D52" s="36">
        <v>0</v>
      </c>
      <c r="E52" s="36">
        <v>250</v>
      </c>
      <c r="F52" s="36">
        <v>54.3</v>
      </c>
      <c r="G52" s="36">
        <v>496.4</v>
      </c>
      <c r="H52" s="36">
        <v>426.1</v>
      </c>
      <c r="I52" s="37">
        <v>200.79999999999998</v>
      </c>
      <c r="J52" s="344">
        <f>J84</f>
        <v>249.94560358976352</v>
      </c>
      <c r="K52" s="198">
        <f t="shared" ref="K52:Q52" si="53">K84</f>
        <v>241.95128572860278</v>
      </c>
      <c r="L52" s="198">
        <f t="shared" si="53"/>
        <v>221.53132281938045</v>
      </c>
      <c r="M52" s="198">
        <f t="shared" si="53"/>
        <v>345.97079794028588</v>
      </c>
      <c r="N52" s="198">
        <f t="shared" si="53"/>
        <v>294.08417235895797</v>
      </c>
      <c r="O52" s="198">
        <f t="shared" si="53"/>
        <v>255.56449861048407</v>
      </c>
      <c r="P52" s="198">
        <f t="shared" si="53"/>
        <v>197.58081391929775</v>
      </c>
      <c r="Q52" s="198">
        <f t="shared" si="53"/>
        <v>175.8062474103013</v>
      </c>
    </row>
    <row r="53" spans="3:19" outlineLevel="1" x14ac:dyDescent="0.2">
      <c r="C53" s="35" t="s">
        <v>106</v>
      </c>
      <c r="D53" s="36">
        <v>0</v>
      </c>
      <c r="E53" s="36">
        <v>0</v>
      </c>
      <c r="F53" s="36">
        <v>59.9</v>
      </c>
      <c r="G53" s="36">
        <v>0</v>
      </c>
      <c r="H53" s="36">
        <v>0</v>
      </c>
      <c r="I53" s="37">
        <v>0</v>
      </c>
      <c r="J53" s="345">
        <v>0</v>
      </c>
      <c r="K53" s="38"/>
      <c r="L53" s="38"/>
      <c r="M53" s="38"/>
      <c r="N53" s="38"/>
      <c r="O53" s="38"/>
      <c r="P53" s="38"/>
      <c r="Q53" s="38"/>
    </row>
    <row r="54" spans="3:19" x14ac:dyDescent="0.2">
      <c r="C54" s="21" t="s">
        <v>1</v>
      </c>
      <c r="D54" s="183">
        <f t="shared" ref="D54:I54" si="54">SUM(D49:D53)</f>
        <v>655</v>
      </c>
      <c r="E54" s="183">
        <f t="shared" si="54"/>
        <v>657.80000000000007</v>
      </c>
      <c r="F54" s="183">
        <f t="shared" si="54"/>
        <v>440.09999999999997</v>
      </c>
      <c r="G54" s="183">
        <f t="shared" si="54"/>
        <v>867.3</v>
      </c>
      <c r="H54" s="183">
        <f t="shared" si="54"/>
        <v>791.40000000000009</v>
      </c>
      <c r="I54" s="186">
        <f t="shared" si="54"/>
        <v>564.99999999999989</v>
      </c>
      <c r="J54" s="184">
        <f>SUM(J49:J53)</f>
        <v>533.67786527248666</v>
      </c>
      <c r="K54" s="183">
        <f t="shared" ref="K54:Q54" si="55">SUM(K49:K53)</f>
        <v>491.40212482407344</v>
      </c>
      <c r="L54" s="183">
        <f t="shared" si="55"/>
        <v>477.95484874768158</v>
      </c>
      <c r="M54" s="183">
        <f t="shared" si="55"/>
        <v>575.86694976872286</v>
      </c>
      <c r="N54" s="183">
        <f t="shared" si="55"/>
        <v>521.53993845134778</v>
      </c>
      <c r="O54" s="183">
        <f t="shared" si="55"/>
        <v>481.45654858163846</v>
      </c>
      <c r="P54" s="183">
        <f t="shared" si="55"/>
        <v>432.51957082483773</v>
      </c>
      <c r="Q54" s="183">
        <f t="shared" si="55"/>
        <v>407.07884165961173</v>
      </c>
      <c r="R54" s="4"/>
    </row>
    <row r="55" spans="3:19" x14ac:dyDescent="0.2">
      <c r="C55" s="44" t="s">
        <v>86</v>
      </c>
      <c r="D55" s="180">
        <f t="shared" ref="D55:I55" si="56">D46+D54</f>
        <v>1237.3999999999999</v>
      </c>
      <c r="E55" s="180">
        <f t="shared" si="56"/>
        <v>934.69999999999993</v>
      </c>
      <c r="F55" s="180">
        <f t="shared" si="56"/>
        <v>908.60000000000014</v>
      </c>
      <c r="G55" s="180">
        <f t="shared" si="56"/>
        <v>1413.1999999999998</v>
      </c>
      <c r="H55" s="180">
        <f t="shared" si="56"/>
        <v>1511.2</v>
      </c>
      <c r="I55" s="185">
        <f t="shared" si="56"/>
        <v>1113.9000000000001</v>
      </c>
      <c r="J55" s="181">
        <f t="shared" ref="J55:Q55" si="57">J46+J54</f>
        <v>819.7617379012222</v>
      </c>
      <c r="K55" s="180">
        <f t="shared" si="57"/>
        <v>714.23381368134926</v>
      </c>
      <c r="L55" s="180">
        <f t="shared" si="57"/>
        <v>703.83470518964066</v>
      </c>
      <c r="M55" s="180">
        <f t="shared" si="57"/>
        <v>794.30655544969193</v>
      </c>
      <c r="N55" s="180">
        <f t="shared" si="57"/>
        <v>732.25782888608455</v>
      </c>
      <c r="O55" s="180">
        <f t="shared" si="57"/>
        <v>684.17125928490077</v>
      </c>
      <c r="P55" s="180">
        <f t="shared" si="57"/>
        <v>622.03947390125188</v>
      </c>
      <c r="Q55" s="180">
        <f t="shared" si="57"/>
        <v>583.01421705268831</v>
      </c>
    </row>
    <row r="56" spans="3:19" x14ac:dyDescent="0.2">
      <c r="D56" s="216">
        <f t="shared" ref="D56:I56" si="58">D55/D5</f>
        <v>0.73540948532033756</v>
      </c>
      <c r="E56" s="216">
        <f t="shared" si="58"/>
        <v>0.66950791490580908</v>
      </c>
      <c r="F56" s="216">
        <f t="shared" si="58"/>
        <v>0.70686167729889537</v>
      </c>
      <c r="G56" s="216">
        <f t="shared" si="58"/>
        <v>0.79255229656216697</v>
      </c>
      <c r="H56" s="216">
        <f t="shared" si="58"/>
        <v>0.9247904045040084</v>
      </c>
      <c r="I56" s="216">
        <f t="shared" si="58"/>
        <v>0.72571503029513329</v>
      </c>
      <c r="J56" s="134"/>
      <c r="K56" s="4"/>
      <c r="L56" s="4"/>
      <c r="M56" s="4"/>
      <c r="N56" s="4"/>
      <c r="O56" s="4"/>
      <c r="P56" s="4"/>
      <c r="Q56" s="4"/>
    </row>
    <row r="57" spans="3:19" hidden="1" outlineLevel="1" x14ac:dyDescent="0.2">
      <c r="C57" s="30" t="s">
        <v>100</v>
      </c>
      <c r="D57" s="31">
        <v>1237.4000000000001</v>
      </c>
      <c r="E57" s="31">
        <v>934.7</v>
      </c>
      <c r="F57" s="31">
        <v>908.6</v>
      </c>
      <c r="G57" s="31">
        <v>1413.2</v>
      </c>
      <c r="H57" s="31">
        <v>1511.2</v>
      </c>
      <c r="I57" s="31">
        <v>1113.9000000000001</v>
      </c>
      <c r="J57" s="135"/>
      <c r="K57" s="33"/>
      <c r="L57" s="33"/>
      <c r="M57" s="33"/>
      <c r="N57" s="33"/>
      <c r="O57" s="33"/>
      <c r="P57" s="33"/>
      <c r="Q57" s="33"/>
    </row>
    <row r="58" spans="3:19" hidden="1" outlineLevel="1" x14ac:dyDescent="0.2">
      <c r="C58" s="30" t="s">
        <v>86</v>
      </c>
      <c r="D58" s="192">
        <f>D55</f>
        <v>1237.3999999999999</v>
      </c>
      <c r="E58" s="192">
        <f t="shared" ref="E58:I58" si="59">E55</f>
        <v>934.69999999999993</v>
      </c>
      <c r="F58" s="192">
        <f t="shared" si="59"/>
        <v>908.60000000000014</v>
      </c>
      <c r="G58" s="192">
        <f t="shared" si="59"/>
        <v>1413.1999999999998</v>
      </c>
      <c r="H58" s="192">
        <f t="shared" si="59"/>
        <v>1511.2</v>
      </c>
      <c r="I58" s="192">
        <f t="shared" si="59"/>
        <v>1113.9000000000001</v>
      </c>
      <c r="J58" s="135"/>
      <c r="K58" s="33"/>
      <c r="L58" s="33"/>
      <c r="M58" s="33"/>
      <c r="N58" s="33"/>
      <c r="O58" s="33"/>
      <c r="P58" s="33"/>
      <c r="Q58" s="33"/>
    </row>
    <row r="59" spans="3:19" hidden="1" outlineLevel="1" x14ac:dyDescent="0.2">
      <c r="C59" s="30" t="s">
        <v>102</v>
      </c>
      <c r="D59" s="192">
        <f>D57-D58</f>
        <v>0</v>
      </c>
      <c r="E59" s="192">
        <f t="shared" ref="E59:I59" si="60">E57-E58</f>
        <v>0</v>
      </c>
      <c r="F59" s="192">
        <f t="shared" si="60"/>
        <v>0</v>
      </c>
      <c r="G59" s="192">
        <f t="shared" si="60"/>
        <v>0</v>
      </c>
      <c r="H59" s="192">
        <f t="shared" si="60"/>
        <v>0</v>
      </c>
      <c r="I59" s="192">
        <f t="shared" si="60"/>
        <v>0</v>
      </c>
      <c r="J59" s="135"/>
      <c r="K59" s="33"/>
      <c r="L59" s="33"/>
      <c r="M59" s="33"/>
      <c r="N59" s="33"/>
      <c r="O59" s="33"/>
      <c r="P59" s="33"/>
      <c r="Q59" s="33"/>
    </row>
    <row r="60" spans="3:19" collapsed="1" x14ac:dyDescent="0.2">
      <c r="D60" s="4"/>
      <c r="E60" s="4"/>
      <c r="F60" s="4"/>
      <c r="G60" s="4"/>
      <c r="H60" s="4"/>
      <c r="I60" s="4"/>
      <c r="J60" s="134"/>
      <c r="K60" s="4"/>
      <c r="L60" s="4"/>
      <c r="M60" s="4"/>
      <c r="N60" s="4"/>
      <c r="O60" s="4"/>
      <c r="P60" s="4"/>
      <c r="Q60" s="4"/>
    </row>
    <row r="61" spans="3:19" x14ac:dyDescent="0.2">
      <c r="C61" s="55" t="s">
        <v>203</v>
      </c>
      <c r="D61" s="56">
        <v>2019</v>
      </c>
      <c r="E61" s="56">
        <f t="shared" ref="E61:Q61" si="61">D61+1</f>
        <v>2020</v>
      </c>
      <c r="F61" s="56">
        <f t="shared" si="61"/>
        <v>2021</v>
      </c>
      <c r="G61" s="56">
        <f t="shared" si="61"/>
        <v>2022</v>
      </c>
      <c r="H61" s="56">
        <f t="shared" si="61"/>
        <v>2023</v>
      </c>
      <c r="I61" s="56">
        <f t="shared" si="61"/>
        <v>2024</v>
      </c>
      <c r="J61" s="136">
        <f t="shared" si="61"/>
        <v>2025</v>
      </c>
      <c r="K61" s="57">
        <f t="shared" si="61"/>
        <v>2026</v>
      </c>
      <c r="L61" s="57">
        <f t="shared" si="61"/>
        <v>2027</v>
      </c>
      <c r="M61" s="57">
        <f t="shared" si="61"/>
        <v>2028</v>
      </c>
      <c r="N61" s="57">
        <f t="shared" si="61"/>
        <v>2029</v>
      </c>
      <c r="O61" s="57">
        <f t="shared" si="61"/>
        <v>2030</v>
      </c>
      <c r="P61" s="57">
        <f t="shared" si="61"/>
        <v>2031</v>
      </c>
      <c r="Q61" s="57">
        <f t="shared" si="61"/>
        <v>2032</v>
      </c>
      <c r="S61" s="133" t="s">
        <v>251</v>
      </c>
    </row>
    <row r="62" spans="3:19" x14ac:dyDescent="0.2">
      <c r="C62" s="2" t="s">
        <v>250</v>
      </c>
      <c r="D62" s="199">
        <f t="shared" ref="D62:Q62" si="62">-D8</f>
        <v>970.9</v>
      </c>
      <c r="E62" s="199">
        <f t="shared" si="62"/>
        <v>993.6</v>
      </c>
      <c r="F62" s="199">
        <f t="shared" si="62"/>
        <v>631</v>
      </c>
      <c r="G62" s="199">
        <f t="shared" si="62"/>
        <v>682.8</v>
      </c>
      <c r="H62" s="199">
        <f t="shared" si="62"/>
        <v>843.3</v>
      </c>
      <c r="I62" s="199">
        <f t="shared" si="62"/>
        <v>772.6</v>
      </c>
      <c r="J62" s="200">
        <f t="shared" si="62"/>
        <v>607.61498101462621</v>
      </c>
      <c r="K62" s="199">
        <f t="shared" si="62"/>
        <v>528.44501375276513</v>
      </c>
      <c r="L62" s="199">
        <f t="shared" si="62"/>
        <v>532.26027061029879</v>
      </c>
      <c r="M62" s="199">
        <f t="shared" si="62"/>
        <v>522.94763705291962</v>
      </c>
      <c r="N62" s="199">
        <f t="shared" si="62"/>
        <v>513.28270681970514</v>
      </c>
      <c r="O62" s="199">
        <f t="shared" si="62"/>
        <v>503.26547991065547</v>
      </c>
      <c r="P62" s="199">
        <f t="shared" si="62"/>
        <v>486.75012145886581</v>
      </c>
      <c r="Q62" s="199">
        <f t="shared" si="62"/>
        <v>469.74696760976565</v>
      </c>
    </row>
    <row r="63" spans="3:19" s="7" customFormat="1" ht="12" x14ac:dyDescent="0.2">
      <c r="C63" s="7" t="s">
        <v>202</v>
      </c>
      <c r="D63" s="201">
        <f>+D62/D$5</f>
        <v>0.57702365386901222</v>
      </c>
      <c r="E63" s="201">
        <f>+E62/E5</f>
        <v>0.71169686985172986</v>
      </c>
      <c r="F63" s="201">
        <f>+F62/F5</f>
        <v>0.49089777501166948</v>
      </c>
      <c r="G63" s="201">
        <f>+G62/G5</f>
        <v>0.38292860748135271</v>
      </c>
      <c r="H63" s="201">
        <f>+H62/H5</f>
        <v>0.51606388837892414</v>
      </c>
      <c r="I63" s="201">
        <f>+I62/I5</f>
        <v>0.50335526744413317</v>
      </c>
      <c r="J63" s="202">
        <f>AVERAGE(D63:I63)</f>
        <v>0.53032767700613692</v>
      </c>
      <c r="K63" s="201">
        <f>J63</f>
        <v>0.53032767700613692</v>
      </c>
      <c r="L63" s="201">
        <f t="shared" ref="L63:Q63" si="63">K63</f>
        <v>0.53032767700613692</v>
      </c>
      <c r="M63" s="201">
        <f t="shared" si="63"/>
        <v>0.53032767700613692</v>
      </c>
      <c r="N63" s="201">
        <f t="shared" si="63"/>
        <v>0.53032767700613692</v>
      </c>
      <c r="O63" s="201">
        <f t="shared" si="63"/>
        <v>0.53032767700613692</v>
      </c>
      <c r="P63" s="201">
        <f t="shared" si="63"/>
        <v>0.53032767700613692</v>
      </c>
      <c r="Q63" s="201">
        <f t="shared" si="63"/>
        <v>0.53032767700613692</v>
      </c>
    </row>
    <row r="64" spans="3:19" x14ac:dyDescent="0.2">
      <c r="I64" s="13"/>
      <c r="J64" s="59"/>
    </row>
    <row r="65" spans="3:19" x14ac:dyDescent="0.2">
      <c r="C65" s="2" t="s">
        <v>253</v>
      </c>
      <c r="D65" s="203">
        <f t="shared" ref="D65:Q65" si="64">-D12</f>
        <v>111.5</v>
      </c>
      <c r="E65" s="203">
        <f t="shared" si="64"/>
        <v>86.7</v>
      </c>
      <c r="F65" s="203">
        <f t="shared" si="64"/>
        <v>64.099999999999994</v>
      </c>
      <c r="G65" s="203">
        <f t="shared" si="64"/>
        <v>51</v>
      </c>
      <c r="H65" s="203">
        <f t="shared" si="64"/>
        <v>56.1</v>
      </c>
      <c r="I65" s="203">
        <f t="shared" si="64"/>
        <v>53.2</v>
      </c>
      <c r="J65" s="200">
        <f t="shared" si="64"/>
        <v>52.67110735062451</v>
      </c>
      <c r="K65" s="199">
        <f t="shared" si="64"/>
        <v>45.8082583839455</v>
      </c>
      <c r="L65" s="199">
        <f t="shared" si="64"/>
        <v>46.138983941728483</v>
      </c>
      <c r="M65" s="199">
        <f t="shared" si="64"/>
        <v>45.331718260097865</v>
      </c>
      <c r="N65" s="199">
        <f t="shared" si="64"/>
        <v>44.493913739544602</v>
      </c>
      <c r="O65" s="199">
        <f t="shared" si="64"/>
        <v>43.625570380068716</v>
      </c>
      <c r="P65" s="199">
        <f t="shared" si="64"/>
        <v>42.193936458706737</v>
      </c>
      <c r="Q65" s="199">
        <f t="shared" si="64"/>
        <v>40.720017991144161</v>
      </c>
    </row>
    <row r="66" spans="3:19" x14ac:dyDescent="0.2">
      <c r="C66" s="7" t="s">
        <v>202</v>
      </c>
      <c r="D66" s="201">
        <f>+D65/D$5</f>
        <v>6.6266492333293722E-2</v>
      </c>
      <c r="E66" s="201">
        <f t="shared" ref="E66:I66" si="65">+E65/E$5</f>
        <v>6.2101568655540437E-2</v>
      </c>
      <c r="F66" s="201">
        <f t="shared" si="65"/>
        <v>4.9867745448887495E-2</v>
      </c>
      <c r="G66" s="201">
        <f t="shared" si="65"/>
        <v>2.8601873142280299E-2</v>
      </c>
      <c r="H66" s="201">
        <f t="shared" si="65"/>
        <v>3.4330824306957962E-2</v>
      </c>
      <c r="I66" s="201">
        <f t="shared" si="65"/>
        <v>3.466023845201642E-2</v>
      </c>
      <c r="J66" s="202">
        <f>AVERAGE(D66:I66)</f>
        <v>4.5971457056496058E-2</v>
      </c>
      <c r="K66" s="201">
        <f>J66</f>
        <v>4.5971457056496058E-2</v>
      </c>
      <c r="L66" s="201">
        <f t="shared" ref="L66:Q66" si="66">K66</f>
        <v>4.5971457056496058E-2</v>
      </c>
      <c r="M66" s="201">
        <f t="shared" si="66"/>
        <v>4.5971457056496058E-2</v>
      </c>
      <c r="N66" s="201">
        <f t="shared" si="66"/>
        <v>4.5971457056496058E-2</v>
      </c>
      <c r="O66" s="201">
        <f t="shared" si="66"/>
        <v>4.5971457056496058E-2</v>
      </c>
      <c r="P66" s="201">
        <f t="shared" si="66"/>
        <v>4.5971457056496058E-2</v>
      </c>
      <c r="Q66" s="201">
        <f t="shared" si="66"/>
        <v>4.5971457056496058E-2</v>
      </c>
    </row>
    <row r="67" spans="3:19" x14ac:dyDescent="0.2">
      <c r="J67" s="137"/>
      <c r="K67" s="115"/>
      <c r="L67" s="115"/>
      <c r="M67" s="115"/>
      <c r="N67" s="115"/>
      <c r="O67" s="115"/>
      <c r="P67" s="115"/>
      <c r="Q67" s="115"/>
    </row>
    <row r="68" spans="3:19" x14ac:dyDescent="0.2">
      <c r="C68" s="2" t="s">
        <v>252</v>
      </c>
      <c r="D68" s="164">
        <f>-CFS!D26</f>
        <v>261.5</v>
      </c>
      <c r="E68" s="164">
        <f>-CFS!E26</f>
        <v>217.3</v>
      </c>
      <c r="F68" s="164">
        <f>-CFS!F26</f>
        <v>150.4</v>
      </c>
      <c r="G68" s="164">
        <f>-CFS!G26</f>
        <v>263.8</v>
      </c>
      <c r="H68" s="164">
        <f>-CFS!H26</f>
        <v>262.3</v>
      </c>
      <c r="I68" s="164">
        <f>-CFS!I26</f>
        <v>196.7</v>
      </c>
      <c r="J68" s="200">
        <f t="shared" ref="J68:Q68" si="67">J69*J5</f>
        <v>170.84460360209027</v>
      </c>
      <c r="K68" s="199">
        <f t="shared" si="67"/>
        <v>153.5664385421174</v>
      </c>
      <c r="L68" s="199">
        <f t="shared" si="67"/>
        <v>159.69337522752588</v>
      </c>
      <c r="M68" s="199">
        <f t="shared" si="67"/>
        <v>161.82973756973789</v>
      </c>
      <c r="N68" s="199">
        <f t="shared" si="67"/>
        <v>163.67815628625513</v>
      </c>
      <c r="O68" s="199">
        <f t="shared" si="67"/>
        <v>165.22866687707764</v>
      </c>
      <c r="P68" s="199">
        <f t="shared" si="67"/>
        <v>164.39560278681634</v>
      </c>
      <c r="Q68" s="199">
        <f t="shared" si="67"/>
        <v>163.08177306097761</v>
      </c>
    </row>
    <row r="69" spans="3:19" s="7" customFormat="1" ht="12" x14ac:dyDescent="0.2">
      <c r="C69" s="7" t="s">
        <v>202</v>
      </c>
      <c r="D69" s="176">
        <f t="shared" ref="D69:I69" si="68">D68/D5</f>
        <v>0.15541423986687269</v>
      </c>
      <c r="E69" s="176">
        <f t="shared" si="68"/>
        <v>0.15564787622663134</v>
      </c>
      <c r="F69" s="176">
        <f t="shared" si="68"/>
        <v>0.1170063793371713</v>
      </c>
      <c r="G69" s="176">
        <f t="shared" si="68"/>
        <v>0.14794459088104986</v>
      </c>
      <c r="H69" s="176">
        <f t="shared" si="68"/>
        <v>0.16051649225873571</v>
      </c>
      <c r="I69" s="177">
        <f t="shared" si="68"/>
        <v>0.12815167111863965</v>
      </c>
      <c r="J69" s="340">
        <f>AVERAGE(D69:I69)+$S$69</f>
        <v>0.1491135416148501</v>
      </c>
      <c r="K69" s="176">
        <f t="shared" ref="K69:Q69" si="69">J69+$S$69</f>
        <v>0.15411354161485011</v>
      </c>
      <c r="L69" s="176">
        <f t="shared" si="69"/>
        <v>0.15911354161485011</v>
      </c>
      <c r="M69" s="176">
        <f t="shared" si="69"/>
        <v>0.16411354161485012</v>
      </c>
      <c r="N69" s="176">
        <f t="shared" si="69"/>
        <v>0.16911354161485012</v>
      </c>
      <c r="O69" s="176">
        <f t="shared" si="69"/>
        <v>0.17411354161485013</v>
      </c>
      <c r="P69" s="176">
        <f t="shared" si="69"/>
        <v>0.17911354161485013</v>
      </c>
      <c r="Q69" s="176">
        <f t="shared" si="69"/>
        <v>0.18411354161485013</v>
      </c>
      <c r="S69" s="138">
        <v>5.0000000000000001E-3</v>
      </c>
    </row>
    <row r="70" spans="3:19" s="7" customFormat="1" ht="12" x14ac:dyDescent="0.2">
      <c r="D70" s="176"/>
      <c r="E70" s="176"/>
      <c r="F70" s="176"/>
      <c r="G70" s="176"/>
      <c r="H70" s="176"/>
      <c r="I70" s="177"/>
      <c r="J70" s="340"/>
      <c r="K70" s="176"/>
      <c r="L70" s="176"/>
      <c r="M70" s="176"/>
      <c r="N70" s="176"/>
      <c r="O70" s="176"/>
      <c r="P70" s="176"/>
      <c r="Q70" s="176"/>
      <c r="S70" s="154"/>
    </row>
    <row r="71" spans="3:19" s="7" customFormat="1" x14ac:dyDescent="0.2">
      <c r="C71" s="2" t="s">
        <v>3</v>
      </c>
      <c r="D71" s="203">
        <f>ABS(D14)</f>
        <v>0</v>
      </c>
      <c r="E71" s="203">
        <f t="shared" ref="E71:I71" si="70">ABS(E14)</f>
        <v>0</v>
      </c>
      <c r="F71" s="203">
        <f t="shared" si="70"/>
        <v>114.2</v>
      </c>
      <c r="G71" s="203">
        <f t="shared" si="70"/>
        <v>496.4</v>
      </c>
      <c r="H71" s="203">
        <f t="shared" si="70"/>
        <v>27</v>
      </c>
      <c r="I71" s="241">
        <f t="shared" si="70"/>
        <v>212.6</v>
      </c>
      <c r="J71" s="200">
        <f t="shared" ref="J71:Q71" si="71">J72*J5</f>
        <v>155.32414709123088</v>
      </c>
      <c r="K71" s="199">
        <f t="shared" si="71"/>
        <v>146.72535117049858</v>
      </c>
      <c r="L71" s="199">
        <f t="shared" si="71"/>
        <v>114.87932847976464</v>
      </c>
      <c r="M71" s="199">
        <f t="shared" si="71"/>
        <v>137.01346246988959</v>
      </c>
      <c r="N71" s="199">
        <f t="shared" si="71"/>
        <v>134.58682177209297</v>
      </c>
      <c r="O71" s="199">
        <f t="shared" si="71"/>
        <v>132.78793994095011</v>
      </c>
      <c r="P71" s="199">
        <f t="shared" si="71"/>
        <v>126.75075824193175</v>
      </c>
      <c r="Q71" s="199">
        <f t="shared" si="71"/>
        <v>127.55715263551431</v>
      </c>
      <c r="S71" s="154"/>
    </row>
    <row r="72" spans="3:19" x14ac:dyDescent="0.2">
      <c r="C72" s="7" t="s">
        <v>202</v>
      </c>
      <c r="D72" s="201">
        <f>D71/D5</f>
        <v>0</v>
      </c>
      <c r="E72" s="201">
        <f t="shared" ref="E72:I72" si="72">E71/E5</f>
        <v>0</v>
      </c>
      <c r="F72" s="201">
        <f t="shared" si="72"/>
        <v>8.8843939629687257E-2</v>
      </c>
      <c r="G72" s="201">
        <f t="shared" si="72"/>
        <v>0.27839156525152825</v>
      </c>
      <c r="H72" s="201">
        <f t="shared" si="72"/>
        <v>1.6522856618322014E-2</v>
      </c>
      <c r="I72" s="201">
        <f t="shared" si="72"/>
        <v>0.13851065215974981</v>
      </c>
      <c r="J72" s="202">
        <f t="shared" ref="J72:Q72" si="73">AVERAGE(F72:I72)+$S$72</f>
        <v>0.13556725341482184</v>
      </c>
      <c r="K72" s="242">
        <f t="shared" si="73"/>
        <v>0.1472480818611055</v>
      </c>
      <c r="L72" s="242">
        <f t="shared" si="73"/>
        <v>0.11446221101349979</v>
      </c>
      <c r="M72" s="242">
        <f t="shared" si="73"/>
        <v>0.13894704961229426</v>
      </c>
      <c r="N72" s="242">
        <f t="shared" si="73"/>
        <v>0.13905614897543034</v>
      </c>
      <c r="O72" s="242">
        <f t="shared" si="73"/>
        <v>0.13992837286558246</v>
      </c>
      <c r="P72" s="242">
        <f t="shared" si="73"/>
        <v>0.1380984456167017</v>
      </c>
      <c r="Q72" s="242">
        <f t="shared" si="73"/>
        <v>0.1440075042675022</v>
      </c>
      <c r="S72" s="138">
        <v>5.0000000000000001E-3</v>
      </c>
    </row>
    <row r="73" spans="3:19" s="7" customFormat="1" x14ac:dyDescent="0.2">
      <c r="D73" s="203"/>
      <c r="E73" s="203"/>
      <c r="F73" s="203"/>
      <c r="G73" s="203"/>
      <c r="H73" s="203"/>
      <c r="I73" s="241"/>
      <c r="J73" s="340"/>
      <c r="K73" s="176"/>
      <c r="L73" s="176"/>
      <c r="M73" s="176"/>
      <c r="N73" s="176"/>
      <c r="O73" s="176"/>
      <c r="P73" s="176"/>
      <c r="Q73" s="176"/>
      <c r="S73" s="154"/>
    </row>
    <row r="74" spans="3:19" s="7" customFormat="1" x14ac:dyDescent="0.2">
      <c r="C74" s="2" t="s">
        <v>74</v>
      </c>
      <c r="D74" s="203">
        <f>D15</f>
        <v>-17.8</v>
      </c>
      <c r="E74" s="203">
        <f t="shared" ref="E74:I74" si="74">E15</f>
        <v>-38.9</v>
      </c>
      <c r="F74" s="203">
        <f t="shared" si="74"/>
        <v>-7.6</v>
      </c>
      <c r="G74" s="203">
        <f t="shared" si="74"/>
        <v>-7</v>
      </c>
      <c r="H74" s="203">
        <f t="shared" si="74"/>
        <v>12.1</v>
      </c>
      <c r="I74" s="241">
        <f t="shared" si="74"/>
        <v>59</v>
      </c>
      <c r="J74" s="200">
        <f>J5*J75</f>
        <v>-44.040891914782712</v>
      </c>
      <c r="K74" s="199">
        <f t="shared" ref="K74:Q74" si="75">K5*K75</f>
        <v>-38.302527851977324</v>
      </c>
      <c r="L74" s="199">
        <f t="shared" si="75"/>
        <v>-38.57906368493061</v>
      </c>
      <c r="M74" s="199">
        <f t="shared" si="75"/>
        <v>-37.904069320476907</v>
      </c>
      <c r="N74" s="199">
        <f t="shared" si="75"/>
        <v>-37.203539937455211</v>
      </c>
      <c r="O74" s="199">
        <f t="shared" si="75"/>
        <v>-36.47747553586553</v>
      </c>
      <c r="P74" s="199">
        <f t="shared" si="75"/>
        <v>-35.280416313766381</v>
      </c>
      <c r="Q74" s="199">
        <f t="shared" si="75"/>
        <v>-34.048000912111533</v>
      </c>
      <c r="S74" s="154"/>
    </row>
    <row r="75" spans="3:19" s="7" customFormat="1" ht="12" x14ac:dyDescent="0.2">
      <c r="C75" s="7" t="s">
        <v>202</v>
      </c>
      <c r="D75" s="176">
        <f>D74/D5</f>
        <v>-1.0578866040651374E-2</v>
      </c>
      <c r="E75" s="176">
        <f t="shared" ref="E75:I75" si="76">E74/E5</f>
        <v>-2.7863333572093689E-2</v>
      </c>
      <c r="F75" s="176">
        <f t="shared" si="76"/>
        <v>-5.9125564026762095E-3</v>
      </c>
      <c r="G75" s="176">
        <f t="shared" si="76"/>
        <v>-3.9257472940384727E-3</v>
      </c>
      <c r="H75" s="176">
        <f t="shared" si="76"/>
        <v>7.4046875956183837E-3</v>
      </c>
      <c r="I75" s="177">
        <f t="shared" si="76"/>
        <v>3.84389862531761E-2</v>
      </c>
      <c r="J75" s="340">
        <f>-I75</f>
        <v>-3.84389862531761E-2</v>
      </c>
      <c r="K75" s="176">
        <f>J75</f>
        <v>-3.84389862531761E-2</v>
      </c>
      <c r="L75" s="176">
        <f t="shared" ref="L75:Q75" si="77">K75</f>
        <v>-3.84389862531761E-2</v>
      </c>
      <c r="M75" s="176">
        <f t="shared" si="77"/>
        <v>-3.84389862531761E-2</v>
      </c>
      <c r="N75" s="176">
        <f t="shared" si="77"/>
        <v>-3.84389862531761E-2</v>
      </c>
      <c r="O75" s="176">
        <f t="shared" si="77"/>
        <v>-3.84389862531761E-2</v>
      </c>
      <c r="P75" s="176">
        <f t="shared" si="77"/>
        <v>-3.84389862531761E-2</v>
      </c>
      <c r="Q75" s="176">
        <f t="shared" si="77"/>
        <v>-3.84389862531761E-2</v>
      </c>
      <c r="S75" s="154"/>
    </row>
    <row r="76" spans="3:19" s="7" customFormat="1" x14ac:dyDescent="0.2">
      <c r="C76" s="2"/>
      <c r="D76" s="176"/>
      <c r="E76" s="176"/>
      <c r="F76" s="176"/>
      <c r="G76" s="176"/>
      <c r="H76" s="176"/>
      <c r="I76" s="177"/>
      <c r="J76" s="340"/>
      <c r="K76" s="176"/>
      <c r="L76" s="176"/>
      <c r="M76" s="176"/>
      <c r="N76" s="176"/>
      <c r="O76" s="176"/>
      <c r="P76" s="176"/>
      <c r="Q76" s="176"/>
      <c r="S76" s="154"/>
    </row>
    <row r="77" spans="3:19" s="7" customFormat="1" ht="12" x14ac:dyDescent="0.2">
      <c r="D77" s="16"/>
      <c r="E77" s="16"/>
      <c r="F77" s="16"/>
      <c r="G77" s="16"/>
      <c r="H77" s="16"/>
      <c r="I77" s="17"/>
      <c r="J77" s="342"/>
      <c r="K77" s="16"/>
      <c r="L77" s="16"/>
      <c r="M77" s="16"/>
      <c r="N77" s="16"/>
      <c r="O77" s="16"/>
      <c r="P77" s="16"/>
      <c r="Q77" s="16"/>
      <c r="S77" s="154"/>
    </row>
    <row r="78" spans="3:19" outlineLevel="1" x14ac:dyDescent="0.2">
      <c r="C78" s="35" t="s">
        <v>1</v>
      </c>
      <c r="D78" s="192">
        <f t="shared" ref="D78:I78" si="78">D49</f>
        <v>724.6</v>
      </c>
      <c r="E78" s="192">
        <f t="shared" si="78"/>
        <v>467.1</v>
      </c>
      <c r="F78" s="192">
        <f t="shared" si="78"/>
        <v>378.9</v>
      </c>
      <c r="G78" s="192">
        <f t="shared" si="78"/>
        <v>425.8</v>
      </c>
      <c r="H78" s="192">
        <f t="shared" si="78"/>
        <v>436.6</v>
      </c>
      <c r="I78" s="193">
        <f t="shared" si="78"/>
        <v>444.2</v>
      </c>
      <c r="J78" s="346">
        <f t="shared" ref="J78:Q78" si="79">J79*J5</f>
        <v>354.29339350527852</v>
      </c>
      <c r="K78" s="192">
        <f t="shared" si="79"/>
        <v>308.13028488990454</v>
      </c>
      <c r="L78" s="192">
        <f t="shared" si="79"/>
        <v>310.35491782586791</v>
      </c>
      <c r="M78" s="192">
        <f t="shared" si="79"/>
        <v>304.92482698115981</v>
      </c>
      <c r="N78" s="192">
        <f t="shared" si="79"/>
        <v>299.28931594652499</v>
      </c>
      <c r="O78" s="192">
        <f t="shared" si="79"/>
        <v>293.44838472196363</v>
      </c>
      <c r="P78" s="192">
        <f t="shared" si="79"/>
        <v>283.81846680738249</v>
      </c>
      <c r="Q78" s="192">
        <f t="shared" si="79"/>
        <v>273.9041209375182</v>
      </c>
    </row>
    <row r="79" spans="3:19" outlineLevel="1" x14ac:dyDescent="0.2">
      <c r="C79" s="148" t="s">
        <v>202</v>
      </c>
      <c r="D79" s="204">
        <f t="shared" ref="D79:I79" si="80">D78/D5</f>
        <v>0.43064305241887557</v>
      </c>
      <c r="E79" s="204">
        <f t="shared" si="80"/>
        <v>0.3345748871857317</v>
      </c>
      <c r="F79" s="204">
        <f t="shared" si="80"/>
        <v>0.29477205539131784</v>
      </c>
      <c r="G79" s="204">
        <f t="shared" si="80"/>
        <v>0.23879759968594025</v>
      </c>
      <c r="H79" s="204">
        <f t="shared" si="80"/>
        <v>0.26718071109479224</v>
      </c>
      <c r="I79" s="205">
        <f t="shared" si="80"/>
        <v>0.28939996090950548</v>
      </c>
      <c r="J79" s="347">
        <f>AVERAGE(D79:I79)</f>
        <v>0.30922804444769386</v>
      </c>
      <c r="K79" s="206">
        <f>J79</f>
        <v>0.30922804444769386</v>
      </c>
      <c r="L79" s="206">
        <f t="shared" ref="L79:Q79" si="81">K79</f>
        <v>0.30922804444769386</v>
      </c>
      <c r="M79" s="206">
        <f t="shared" si="81"/>
        <v>0.30922804444769386</v>
      </c>
      <c r="N79" s="206">
        <f t="shared" si="81"/>
        <v>0.30922804444769386</v>
      </c>
      <c r="O79" s="206">
        <f t="shared" si="81"/>
        <v>0.30922804444769386</v>
      </c>
      <c r="P79" s="206">
        <f t="shared" si="81"/>
        <v>0.30922804444769386</v>
      </c>
      <c r="Q79" s="206">
        <f t="shared" si="81"/>
        <v>0.30922804444769386</v>
      </c>
    </row>
    <row r="80" spans="3:19" outlineLevel="1" x14ac:dyDescent="0.2">
      <c r="C80" s="35" t="s">
        <v>103</v>
      </c>
      <c r="D80" s="198">
        <f t="shared" ref="D80:I80" si="82">D50</f>
        <v>16.3</v>
      </c>
      <c r="E80" s="198">
        <f t="shared" si="82"/>
        <v>13.1</v>
      </c>
      <c r="F80" s="198">
        <f t="shared" si="82"/>
        <v>7.6</v>
      </c>
      <c r="G80" s="198">
        <f t="shared" si="82"/>
        <v>6</v>
      </c>
      <c r="H80" s="198">
        <f t="shared" si="82"/>
        <v>10.1</v>
      </c>
      <c r="I80" s="207">
        <f t="shared" si="82"/>
        <v>11.4</v>
      </c>
      <c r="J80" s="348">
        <f t="shared" ref="J80:Q80" si="83">J81*D5</f>
        <v>11.765894435145167</v>
      </c>
      <c r="K80" s="208">
        <f t="shared" si="83"/>
        <v>9.1354774898315263</v>
      </c>
      <c r="L80" s="208">
        <f t="shared" si="83"/>
        <v>7.8027432798517431</v>
      </c>
      <c r="M80" s="208">
        <f t="shared" si="83"/>
        <v>10.870797779695749</v>
      </c>
      <c r="N80" s="208">
        <f t="shared" si="83"/>
        <v>10.706372288206472</v>
      </c>
      <c r="O80" s="208">
        <f t="shared" si="83"/>
        <v>10.151356075329621</v>
      </c>
      <c r="P80" s="208">
        <f t="shared" si="83"/>
        <v>7.4221956556099729</v>
      </c>
      <c r="Q80" s="208">
        <f t="shared" si="83"/>
        <v>6.3696526741779103</v>
      </c>
    </row>
    <row r="81" spans="3:17" outlineLevel="1" x14ac:dyDescent="0.2">
      <c r="C81" s="148" t="s">
        <v>202</v>
      </c>
      <c r="D81" s="204">
        <f t="shared" ref="D81:I81" si="84">D80/D5</f>
        <v>9.6873885653155842E-3</v>
      </c>
      <c r="E81" s="204">
        <f t="shared" si="84"/>
        <v>9.3832819998567445E-3</v>
      </c>
      <c r="F81" s="204">
        <f t="shared" si="84"/>
        <v>5.9125564026762095E-3</v>
      </c>
      <c r="G81" s="204">
        <f t="shared" si="84"/>
        <v>3.3649262520329764E-3</v>
      </c>
      <c r="H81" s="204">
        <f t="shared" si="84"/>
        <v>6.1807722905574932E-3</v>
      </c>
      <c r="I81" s="205">
        <f t="shared" si="84"/>
        <v>7.427193954003518E-3</v>
      </c>
      <c r="J81" s="347">
        <f>AVERAGE(D81:I81)</f>
        <v>6.9926865774070888E-3</v>
      </c>
      <c r="K81" s="206">
        <f t="shared" ref="K81:Q81" si="85">AVERAGE(E81:J81)</f>
        <v>6.5435695794223382E-3</v>
      </c>
      <c r="L81" s="206">
        <f t="shared" si="85"/>
        <v>6.0702841760166036E-3</v>
      </c>
      <c r="M81" s="206">
        <f t="shared" si="85"/>
        <v>6.0965721382400034E-3</v>
      </c>
      <c r="N81" s="206">
        <f t="shared" si="85"/>
        <v>6.551846452607841E-3</v>
      </c>
      <c r="O81" s="206">
        <f t="shared" si="85"/>
        <v>6.613692146282899E-3</v>
      </c>
      <c r="P81" s="206">
        <f t="shared" si="85"/>
        <v>6.4781085116627961E-3</v>
      </c>
      <c r="Q81" s="206">
        <f t="shared" si="85"/>
        <v>6.3923455007054144E-3</v>
      </c>
    </row>
    <row r="82" spans="3:17" outlineLevel="1" x14ac:dyDescent="0.2">
      <c r="C82" s="35" t="s">
        <v>104</v>
      </c>
      <c r="D82" s="198">
        <f t="shared" ref="D82:I82" si="86">D51</f>
        <v>-85.9</v>
      </c>
      <c r="E82" s="198">
        <f t="shared" si="86"/>
        <v>-72.400000000000006</v>
      </c>
      <c r="F82" s="198">
        <f t="shared" si="86"/>
        <v>-60.6</v>
      </c>
      <c r="G82" s="198">
        <f t="shared" si="86"/>
        <v>-60.9</v>
      </c>
      <c r="H82" s="198">
        <f t="shared" si="86"/>
        <v>-81.400000000000006</v>
      </c>
      <c r="I82" s="207">
        <f t="shared" si="86"/>
        <v>-91.4</v>
      </c>
      <c r="J82" s="348">
        <f t="shared" ref="J82:Q82" si="87">J83*D5</f>
        <v>-82.327026257700581</v>
      </c>
      <c r="K82" s="208">
        <f t="shared" si="87"/>
        <v>-67.814923284265461</v>
      </c>
      <c r="L82" s="208">
        <f t="shared" si="87"/>
        <v>-61.734135177418516</v>
      </c>
      <c r="M82" s="208">
        <f t="shared" si="87"/>
        <v>-85.899472932418519</v>
      </c>
      <c r="N82" s="208">
        <f t="shared" si="87"/>
        <v>-82.539922142341595</v>
      </c>
      <c r="O82" s="208">
        <f t="shared" si="87"/>
        <v>-77.707690826138816</v>
      </c>
      <c r="P82" s="208">
        <f t="shared" si="87"/>
        <v>-56.301905557452507</v>
      </c>
      <c r="Q82" s="208">
        <f t="shared" si="87"/>
        <v>-49.001179362385699</v>
      </c>
    </row>
    <row r="83" spans="3:17" outlineLevel="1" x14ac:dyDescent="0.2">
      <c r="C83" s="148" t="s">
        <v>202</v>
      </c>
      <c r="D83" s="204">
        <f t="shared" ref="D83:I83" si="88">D82/D5</f>
        <v>-5.1051943420896237E-2</v>
      </c>
      <c r="E83" s="204">
        <f t="shared" si="88"/>
        <v>-5.1858749373254069E-2</v>
      </c>
      <c r="F83" s="204">
        <f t="shared" si="88"/>
        <v>-4.7144857631865565E-2</v>
      </c>
      <c r="G83" s="204">
        <f t="shared" si="88"/>
        <v>-3.4154001458134707E-2</v>
      </c>
      <c r="H83" s="204">
        <f t="shared" si="88"/>
        <v>-4.9813352915978222E-2</v>
      </c>
      <c r="I83" s="205">
        <f t="shared" si="88"/>
        <v>-5.9547853280343996E-2</v>
      </c>
      <c r="J83" s="349">
        <f>AVERAGE(D83:I83)</f>
        <v>-4.8928459680078799E-2</v>
      </c>
      <c r="K83" s="204">
        <f t="shared" ref="K83:Q83" si="89">AVERAGE(E83:J83)</f>
        <v>-4.8574545723275887E-2</v>
      </c>
      <c r="L83" s="204">
        <f t="shared" si="89"/>
        <v>-4.8027178448279535E-2</v>
      </c>
      <c r="M83" s="204">
        <f t="shared" si="89"/>
        <v>-4.8174231917681859E-2</v>
      </c>
      <c r="N83" s="204">
        <f t="shared" si="89"/>
        <v>-5.0510936994273059E-2</v>
      </c>
      <c r="O83" s="204">
        <f t="shared" si="89"/>
        <v>-5.0627201007322181E-2</v>
      </c>
      <c r="P83" s="204">
        <f t="shared" si="89"/>
        <v>-4.9140425628485217E-2</v>
      </c>
      <c r="Q83" s="204">
        <f t="shared" si="89"/>
        <v>-4.9175753286552958E-2</v>
      </c>
    </row>
    <row r="84" spans="3:17" outlineLevel="1" x14ac:dyDescent="0.2">
      <c r="C84" s="35" t="s">
        <v>105</v>
      </c>
      <c r="D84" s="198">
        <f t="shared" ref="D84:I84" si="90">D52</f>
        <v>0</v>
      </c>
      <c r="E84" s="198">
        <f t="shared" si="90"/>
        <v>250</v>
      </c>
      <c r="F84" s="198">
        <f t="shared" si="90"/>
        <v>54.3</v>
      </c>
      <c r="G84" s="198">
        <f t="shared" si="90"/>
        <v>496.4</v>
      </c>
      <c r="H84" s="198">
        <f t="shared" si="90"/>
        <v>426.1</v>
      </c>
      <c r="I84" s="207">
        <f t="shared" si="90"/>
        <v>200.79999999999998</v>
      </c>
      <c r="J84" s="348">
        <f t="shared" ref="J84:Q84" si="91">J85*D5</f>
        <v>249.94560358976352</v>
      </c>
      <c r="K84" s="208">
        <f t="shared" si="91"/>
        <v>241.95128572860278</v>
      </c>
      <c r="L84" s="208">
        <f t="shared" si="91"/>
        <v>221.53132281938045</v>
      </c>
      <c r="M84" s="208">
        <f t="shared" si="91"/>
        <v>345.97079794028588</v>
      </c>
      <c r="N84" s="208">
        <f t="shared" si="91"/>
        <v>294.08417235895797</v>
      </c>
      <c r="O84" s="208">
        <f t="shared" si="91"/>
        <v>255.56449861048407</v>
      </c>
      <c r="P84" s="208">
        <f t="shared" si="91"/>
        <v>197.58081391929775</v>
      </c>
      <c r="Q84" s="208">
        <f t="shared" si="91"/>
        <v>175.8062474103013</v>
      </c>
    </row>
    <row r="85" spans="3:17" outlineLevel="1" x14ac:dyDescent="0.2">
      <c r="C85" s="148" t="s">
        <v>202</v>
      </c>
      <c r="D85" s="204">
        <f t="shared" ref="D85:I85" si="92">D84/D5</f>
        <v>0</v>
      </c>
      <c r="E85" s="204">
        <f t="shared" si="92"/>
        <v>0.17907026717283864</v>
      </c>
      <c r="F85" s="204">
        <f t="shared" si="92"/>
        <v>4.2243659561226075E-2</v>
      </c>
      <c r="G85" s="204">
        <f t="shared" si="92"/>
        <v>0.27839156525152825</v>
      </c>
      <c r="H85" s="204">
        <f t="shared" si="92"/>
        <v>0.26075515574322261</v>
      </c>
      <c r="I85" s="205">
        <f t="shared" si="92"/>
        <v>0.13082285490911458</v>
      </c>
      <c r="J85" s="348">
        <f>AVERAGE(D85:I85)</f>
        <v>0.14854725043965503</v>
      </c>
      <c r="K85" s="208">
        <f t="shared" ref="K85:Q85" si="93">AVERAGE(E85:J85)</f>
        <v>0.17330512551293087</v>
      </c>
      <c r="L85" s="208">
        <f t="shared" si="93"/>
        <v>0.17234426856961291</v>
      </c>
      <c r="M85" s="208">
        <f t="shared" si="93"/>
        <v>0.19402770340434405</v>
      </c>
      <c r="N85" s="208">
        <f t="shared" si="93"/>
        <v>0.17996705976314667</v>
      </c>
      <c r="O85" s="208">
        <f t="shared" si="93"/>
        <v>0.16650237709980067</v>
      </c>
      <c r="P85" s="208">
        <f t="shared" si="93"/>
        <v>0.1724489641315817</v>
      </c>
      <c r="Q85" s="208">
        <f t="shared" si="93"/>
        <v>0.17643258308023613</v>
      </c>
    </row>
    <row r="86" spans="3:17" x14ac:dyDescent="0.2">
      <c r="C86" s="2" t="s">
        <v>254</v>
      </c>
      <c r="D86" s="209">
        <f>D78+D80+D82</f>
        <v>655</v>
      </c>
      <c r="E86" s="209">
        <f t="shared" ref="E86:I86" si="94">E78+E80+E82</f>
        <v>407.80000000000007</v>
      </c>
      <c r="F86" s="209">
        <f t="shared" si="94"/>
        <v>325.89999999999998</v>
      </c>
      <c r="G86" s="209">
        <f t="shared" si="94"/>
        <v>370.90000000000003</v>
      </c>
      <c r="H86" s="209">
        <f t="shared" si="94"/>
        <v>365.30000000000007</v>
      </c>
      <c r="I86" s="210">
        <f t="shared" si="94"/>
        <v>364.19999999999993</v>
      </c>
      <c r="J86" s="350">
        <f>J78+J80+J82+J84</f>
        <v>533.67786527248666</v>
      </c>
      <c r="K86" s="209">
        <f t="shared" ref="K86:Q86" si="95">K78+K80+K82+K84</f>
        <v>491.40212482407344</v>
      </c>
      <c r="L86" s="209">
        <f t="shared" si="95"/>
        <v>477.95484874768158</v>
      </c>
      <c r="M86" s="209">
        <f t="shared" si="95"/>
        <v>575.86694976872286</v>
      </c>
      <c r="N86" s="209">
        <f t="shared" si="95"/>
        <v>521.53993845134778</v>
      </c>
      <c r="O86" s="209">
        <f t="shared" si="95"/>
        <v>481.45654858163846</v>
      </c>
      <c r="P86" s="209">
        <f t="shared" si="95"/>
        <v>432.51957082483773</v>
      </c>
      <c r="Q86" s="209">
        <f t="shared" si="95"/>
        <v>407.07884165961173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BDB68-33A5-4596-897B-AB1C50642E7D}">
  <sheetPr>
    <tabColor theme="4" tint="0.59999389629810485"/>
  </sheetPr>
  <dimension ref="C1:X65"/>
  <sheetViews>
    <sheetView showGridLines="0" zoomScaleNormal="100" workbookViewId="0"/>
  </sheetViews>
  <sheetFormatPr defaultColWidth="8.7109375" defaultRowHeight="14.25" outlineLevelRow="1" x14ac:dyDescent="0.2"/>
  <cols>
    <col min="1" max="2" width="1.5703125" style="2" customWidth="1"/>
    <col min="3" max="3" width="32.85546875" style="40" bestFit="1" customWidth="1"/>
    <col min="4" max="4" width="9" style="2" bestFit="1" customWidth="1"/>
    <col min="5" max="17" width="8.7109375" style="2" bestFit="1" customWidth="1"/>
    <col min="18" max="19" width="8.7109375" style="2"/>
    <col min="20" max="20" width="8.7109375" style="2" bestFit="1" customWidth="1"/>
    <col min="21" max="16384" width="8.7109375" style="2"/>
  </cols>
  <sheetData>
    <row r="1" spans="3:24" ht="12.75" x14ac:dyDescent="0.2">
      <c r="C1" s="2"/>
      <c r="D1" s="9">
        <v>2019</v>
      </c>
      <c r="E1" s="10">
        <f>D1+1</f>
        <v>2020</v>
      </c>
      <c r="F1" s="10">
        <f t="shared" ref="F1:N1" si="0">E1+1</f>
        <v>2021</v>
      </c>
      <c r="G1" s="10">
        <f t="shared" si="0"/>
        <v>2022</v>
      </c>
      <c r="H1" s="10">
        <f t="shared" si="0"/>
        <v>2023</v>
      </c>
      <c r="I1" s="39">
        <f t="shared" si="0"/>
        <v>2024</v>
      </c>
      <c r="J1" s="338">
        <f t="shared" si="0"/>
        <v>2025</v>
      </c>
      <c r="K1" s="23">
        <f t="shared" si="0"/>
        <v>2026</v>
      </c>
      <c r="L1" s="23">
        <f t="shared" si="0"/>
        <v>2027</v>
      </c>
      <c r="M1" s="23">
        <f t="shared" si="0"/>
        <v>2028</v>
      </c>
      <c r="N1" s="23">
        <f t="shared" si="0"/>
        <v>2029</v>
      </c>
      <c r="O1" s="23">
        <f>+N1+1</f>
        <v>2030</v>
      </c>
      <c r="P1" s="23">
        <f t="shared" ref="P1:Q1" si="1">+O1+1</f>
        <v>2031</v>
      </c>
      <c r="Q1" s="23">
        <f t="shared" si="1"/>
        <v>2032</v>
      </c>
      <c r="T1" s="19"/>
      <c r="U1" s="173"/>
      <c r="V1" s="174"/>
      <c r="W1" s="175"/>
      <c r="X1" s="5"/>
    </row>
    <row r="2" spans="3:24" ht="12.75" x14ac:dyDescent="0.2">
      <c r="C2" s="3" t="s">
        <v>109</v>
      </c>
      <c r="D2" s="3"/>
      <c r="E2" s="3"/>
      <c r="F2" s="3"/>
      <c r="G2" s="3"/>
      <c r="H2" s="3"/>
      <c r="I2" s="12"/>
      <c r="J2" s="106"/>
      <c r="K2" s="3"/>
      <c r="L2" s="3"/>
      <c r="M2" s="3"/>
      <c r="N2" s="3"/>
      <c r="O2" s="3"/>
      <c r="P2" s="3"/>
      <c r="Q2" s="3"/>
      <c r="W2" s="24"/>
      <c r="X2" s="18"/>
    </row>
    <row r="3" spans="3:24" ht="5.0999999999999996" customHeight="1" x14ac:dyDescent="0.2">
      <c r="C3" s="2"/>
      <c r="I3" s="13"/>
      <c r="J3" s="59"/>
    </row>
    <row r="4" spans="3:24" ht="12.75" x14ac:dyDescent="0.2">
      <c r="C4" s="1" t="s">
        <v>37</v>
      </c>
      <c r="D4" s="1"/>
      <c r="E4" s="1"/>
      <c r="F4" s="1"/>
      <c r="G4" s="1"/>
      <c r="H4" s="1"/>
      <c r="I4" s="14"/>
      <c r="J4" s="339"/>
      <c r="K4" s="1"/>
      <c r="L4" s="1"/>
      <c r="M4" s="1"/>
      <c r="N4" s="1"/>
      <c r="O4" s="1"/>
      <c r="P4" s="1"/>
      <c r="Q4" s="1"/>
    </row>
    <row r="5" spans="3:24" s="18" customFormat="1" ht="12.75" x14ac:dyDescent="0.2">
      <c r="C5" s="18" t="s">
        <v>110</v>
      </c>
      <c r="D5" s="45"/>
      <c r="E5" s="45"/>
      <c r="F5" s="45"/>
      <c r="G5" s="45"/>
      <c r="H5" s="45"/>
      <c r="I5" s="46"/>
      <c r="J5" s="351"/>
      <c r="K5" s="42"/>
      <c r="L5" s="42"/>
      <c r="M5" s="42"/>
      <c r="N5" s="42"/>
      <c r="O5" s="42"/>
      <c r="P5" s="42"/>
      <c r="Q5" s="42"/>
    </row>
    <row r="6" spans="3:24" ht="12.75" x14ac:dyDescent="0.2">
      <c r="C6" s="2" t="s">
        <v>38</v>
      </c>
      <c r="D6" s="19">
        <v>288.8</v>
      </c>
      <c r="E6" s="19">
        <v>805.4</v>
      </c>
      <c r="F6" s="19">
        <v>469.1</v>
      </c>
      <c r="G6" s="19">
        <v>636.29999999999995</v>
      </c>
      <c r="H6" s="19">
        <v>499</v>
      </c>
      <c r="I6" s="20">
        <v>555.1</v>
      </c>
      <c r="J6" s="156">
        <f ca="1">+I6+CFS!J45</f>
        <v>388.58455277710152</v>
      </c>
      <c r="K6" s="50">
        <f ca="1">+J6+CFS!K45</f>
        <v>374.6266684601635</v>
      </c>
      <c r="L6" s="50">
        <f ca="1">+K6+CFS!L45</f>
        <v>526.20949641022753</v>
      </c>
      <c r="M6" s="50">
        <f ca="1">+L6+CFS!M45</f>
        <v>824.84174401327834</v>
      </c>
      <c r="N6" s="50">
        <f ca="1">+M6+CFS!N45</f>
        <v>1080.7473845695963</v>
      </c>
      <c r="O6" s="50">
        <f ca="1">+N6+CFS!O45</f>
        <v>1306.8720427968046</v>
      </c>
      <c r="P6" s="50">
        <f ca="1">+O6+CFS!P45</f>
        <v>1479.0295103240746</v>
      </c>
      <c r="Q6" s="50">
        <f ca="1">+P6+CFS!Q45</f>
        <v>1383.9008584718017</v>
      </c>
    </row>
    <row r="7" spans="3:24" ht="12.75" x14ac:dyDescent="0.2">
      <c r="C7" s="21" t="s">
        <v>111</v>
      </c>
      <c r="D7" s="183">
        <f t="shared" ref="D7:I7" si="2">SUM(D6)</f>
        <v>288.8</v>
      </c>
      <c r="E7" s="183">
        <f t="shared" si="2"/>
        <v>805.4</v>
      </c>
      <c r="F7" s="183">
        <f t="shared" si="2"/>
        <v>469.1</v>
      </c>
      <c r="G7" s="183">
        <f t="shared" si="2"/>
        <v>636.29999999999995</v>
      </c>
      <c r="H7" s="183">
        <f t="shared" si="2"/>
        <v>499</v>
      </c>
      <c r="I7" s="186">
        <f t="shared" si="2"/>
        <v>555.1</v>
      </c>
      <c r="J7" s="184">
        <f ca="1">J6</f>
        <v>388.58455277710152</v>
      </c>
      <c r="K7" s="183">
        <f t="shared" ref="K7:Q7" ca="1" si="3">K6</f>
        <v>374.6266684601635</v>
      </c>
      <c r="L7" s="183">
        <f t="shared" ca="1" si="3"/>
        <v>526.20949641022753</v>
      </c>
      <c r="M7" s="183">
        <f t="shared" ca="1" si="3"/>
        <v>824.84174401327834</v>
      </c>
      <c r="N7" s="183">
        <f t="shared" ca="1" si="3"/>
        <v>1080.7473845695963</v>
      </c>
      <c r="O7" s="183">
        <f t="shared" ca="1" si="3"/>
        <v>1306.8720427968046</v>
      </c>
      <c r="P7" s="183">
        <f t="shared" ca="1" si="3"/>
        <v>1479.0295103240746</v>
      </c>
      <c r="Q7" s="183">
        <f t="shared" ca="1" si="3"/>
        <v>1383.9008584718017</v>
      </c>
    </row>
    <row r="8" spans="3:24" ht="12.75" x14ac:dyDescent="0.2">
      <c r="C8" s="2"/>
      <c r="D8" s="6"/>
      <c r="E8" s="6"/>
      <c r="F8" s="6"/>
      <c r="G8" s="6"/>
      <c r="H8" s="6"/>
      <c r="I8" s="28"/>
      <c r="J8" s="15"/>
      <c r="K8" s="6"/>
      <c r="L8" s="6"/>
      <c r="M8" s="6"/>
      <c r="N8" s="6"/>
      <c r="O8" s="6"/>
      <c r="P8" s="6"/>
      <c r="Q8" s="6"/>
    </row>
    <row r="9" spans="3:24" ht="12.75" x14ac:dyDescent="0.2">
      <c r="C9" s="2" t="s">
        <v>39</v>
      </c>
      <c r="D9" s="19">
        <v>38.700000000000003</v>
      </c>
      <c r="E9" s="19">
        <v>79</v>
      </c>
      <c r="F9" s="19">
        <v>99.8</v>
      </c>
      <c r="G9" s="19">
        <v>26.8</v>
      </c>
      <c r="H9" s="19">
        <v>43.5</v>
      </c>
      <c r="I9" s="20">
        <v>137.9</v>
      </c>
      <c r="J9" s="156">
        <f>IS!J5/365*NWC!J20</f>
        <v>102.21789667458678</v>
      </c>
      <c r="K9" s="50">
        <f>IS!K5/365*NWC!K20</f>
        <v>83.439285734826996</v>
      </c>
      <c r="L9" s="50">
        <f>IS!L5/365*NWC!L20</f>
        <v>84.041699039527884</v>
      </c>
      <c r="M9" s="50">
        <f>IS!M5/365*NWC!M20</f>
        <v>82.571272652457381</v>
      </c>
      <c r="N9" s="50">
        <f>IS!N5/365*NWC!N20</f>
        <v>81.04522007489696</v>
      </c>
      <c r="O9" s="50">
        <f>IS!O5/365*NWC!O20</f>
        <v>79.463541306846679</v>
      </c>
      <c r="P9" s="50">
        <f>IS!P5/365*NWC!P20</f>
        <v>76.855834398826374</v>
      </c>
      <c r="Q9" s="50">
        <f>IS!Q5/365*NWC!Q20</f>
        <v>74.171106611666204</v>
      </c>
      <c r="R9" s="155"/>
      <c r="S9" s="6"/>
      <c r="T9" s="6"/>
      <c r="U9" s="6"/>
    </row>
    <row r="10" spans="3:24" ht="12.75" x14ac:dyDescent="0.2">
      <c r="C10" s="2" t="s">
        <v>40</v>
      </c>
      <c r="D10" s="19">
        <v>754.7</v>
      </c>
      <c r="E10" s="19">
        <v>558.29999999999995</v>
      </c>
      <c r="F10" s="19">
        <v>642.29999999999995</v>
      </c>
      <c r="G10" s="19">
        <v>467.7</v>
      </c>
      <c r="H10" s="19">
        <v>501.9</v>
      </c>
      <c r="I10" s="20">
        <v>357.1</v>
      </c>
      <c r="J10" s="156">
        <f>IS!J5/365*NWC!J22</f>
        <v>448.26346843873233</v>
      </c>
      <c r="K10" s="50">
        <f>IS!K5/365*NWC!K22</f>
        <v>384.39640931434832</v>
      </c>
      <c r="L10" s="50">
        <f>IS!L5/365*NWC!L22</f>
        <v>381.67224690687055</v>
      </c>
      <c r="M10" s="50">
        <f>IS!M5/365*NWC!M22</f>
        <v>369.59116022111482</v>
      </c>
      <c r="N10" s="50">
        <f>IS!N5/365*NWC!N22</f>
        <v>357.45716926248281</v>
      </c>
      <c r="O10" s="50">
        <f>IS!O5/365*NWC!O22</f>
        <v>345.28119403097458</v>
      </c>
      <c r="P10" s="50">
        <f>IS!P5/365*NWC!P22</f>
        <v>328.92111020580967</v>
      </c>
      <c r="Q10" s="50">
        <f>IS!Q5/365*NWC!Q22</f>
        <v>312.57771892589295</v>
      </c>
      <c r="R10" s="155"/>
    </row>
    <row r="11" spans="3:24" ht="12.75" x14ac:dyDescent="0.2">
      <c r="C11" s="21" t="s">
        <v>112</v>
      </c>
      <c r="D11" s="183">
        <f t="shared" ref="D11:I11" si="4">SUM(D9:D10)</f>
        <v>793.40000000000009</v>
      </c>
      <c r="E11" s="183">
        <f t="shared" si="4"/>
        <v>637.29999999999995</v>
      </c>
      <c r="F11" s="183">
        <f t="shared" si="4"/>
        <v>742.09999999999991</v>
      </c>
      <c r="G11" s="183">
        <f t="shared" si="4"/>
        <v>494.5</v>
      </c>
      <c r="H11" s="183">
        <f t="shared" si="4"/>
        <v>545.4</v>
      </c>
      <c r="I11" s="186">
        <f t="shared" si="4"/>
        <v>495</v>
      </c>
      <c r="J11" s="184">
        <f>SUM(J9:J10)</f>
        <v>550.48136511331916</v>
      </c>
      <c r="K11" s="183">
        <f t="shared" ref="K11:Q11" si="5">SUM(K9:K10)</f>
        <v>467.83569504917534</v>
      </c>
      <c r="L11" s="183">
        <f t="shared" si="5"/>
        <v>465.71394594639844</v>
      </c>
      <c r="M11" s="183">
        <f t="shared" si="5"/>
        <v>452.16243287357219</v>
      </c>
      <c r="N11" s="183">
        <f t="shared" si="5"/>
        <v>438.50238933737978</v>
      </c>
      <c r="O11" s="183">
        <f t="shared" si="5"/>
        <v>424.74473533782123</v>
      </c>
      <c r="P11" s="183">
        <f t="shared" si="5"/>
        <v>405.77694460463601</v>
      </c>
      <c r="Q11" s="183">
        <f t="shared" si="5"/>
        <v>386.74882553755913</v>
      </c>
      <c r="R11" s="155"/>
      <c r="S11" s="6"/>
      <c r="T11" s="6"/>
      <c r="U11" s="6"/>
      <c r="V11" s="6"/>
      <c r="W11" s="6"/>
    </row>
    <row r="12" spans="3:24" ht="12.75" x14ac:dyDescent="0.2">
      <c r="C12" s="2"/>
      <c r="D12" s="6"/>
      <c r="E12" s="6"/>
      <c r="F12" s="6"/>
      <c r="G12" s="6"/>
      <c r="H12" s="6"/>
      <c r="I12" s="28"/>
      <c r="J12" s="15"/>
      <c r="K12" s="6"/>
      <c r="L12" s="6" t="s">
        <v>274</v>
      </c>
      <c r="M12" s="6"/>
      <c r="N12" s="6"/>
      <c r="O12" s="6"/>
      <c r="P12" s="6"/>
      <c r="Q12" s="6"/>
    </row>
    <row r="13" spans="3:24" s="4" customFormat="1" ht="12.75" x14ac:dyDescent="0.2">
      <c r="C13" s="4" t="s">
        <v>41</v>
      </c>
      <c r="D13" s="19">
        <v>191.5</v>
      </c>
      <c r="E13" s="19">
        <v>96.1</v>
      </c>
      <c r="F13" s="19">
        <v>134.80000000000001</v>
      </c>
      <c r="G13" s="19">
        <v>181.6</v>
      </c>
      <c r="H13" s="19">
        <v>107.3</v>
      </c>
      <c r="I13" s="20">
        <v>132.4</v>
      </c>
      <c r="J13" s="156">
        <f>IS!$J$8/365*-NWC!J24</f>
        <v>108.57666005445391</v>
      </c>
      <c r="K13" s="50">
        <f>IS!K8/365*-NWC!K24</f>
        <v>94.429525947326923</v>
      </c>
      <c r="L13" s="50">
        <f>IS!L8/365*-NWC!L24</f>
        <v>95.111286370924645</v>
      </c>
      <c r="M13" s="50">
        <f>IS!M8/365*-NWC!M24</f>
        <v>93.44718216091519</v>
      </c>
      <c r="N13" s="50">
        <f>IS!N8/365*-NWC!N24</f>
        <v>91.720124933607494</v>
      </c>
      <c r="O13" s="50">
        <f>IS!O8/365*-NWC!O24</f>
        <v>89.93011468900157</v>
      </c>
      <c r="P13" s="50">
        <f>IS!P8/365*-NWC!P24</f>
        <v>86.978932581373016</v>
      </c>
      <c r="Q13" s="50">
        <f>IS!Q8/365*-NWC!Q24</f>
        <v>83.940584757485368</v>
      </c>
      <c r="R13" s="155"/>
    </row>
    <row r="14" spans="3:24" s="4" customFormat="1" ht="12.75" x14ac:dyDescent="0.2">
      <c r="C14" s="4" t="s">
        <v>42</v>
      </c>
      <c r="D14" s="19">
        <v>69.5</v>
      </c>
      <c r="E14" s="19">
        <v>60.7</v>
      </c>
      <c r="F14" s="19">
        <v>49.6</v>
      </c>
      <c r="G14" s="19">
        <v>31.3</v>
      </c>
      <c r="H14" s="19">
        <v>21.1</v>
      </c>
      <c r="I14" s="20">
        <v>17.100000000000001</v>
      </c>
      <c r="J14" s="156">
        <f>NWC!J26</f>
        <v>31.503395010485377</v>
      </c>
      <c r="K14" s="50">
        <f>NWC!K26</f>
        <v>27.39862006327655</v>
      </c>
      <c r="L14" s="50">
        <f>NWC!L26</f>
        <v>27.596432078458665</v>
      </c>
      <c r="M14" s="50">
        <f>NWC!M26</f>
        <v>27.113594125621955</v>
      </c>
      <c r="N14" s="50">
        <f>NWC!N26</f>
        <v>26.612490426076384</v>
      </c>
      <c r="O14" s="50">
        <f>NWC!O26</f>
        <v>26.093120979821968</v>
      </c>
      <c r="P14" s="50">
        <f>NWC!P26</f>
        <v>25.23683883191034</v>
      </c>
      <c r="Q14" s="50">
        <f>NWC!Q26</f>
        <v>24.355265650094136</v>
      </c>
      <c r="R14" s="155"/>
    </row>
    <row r="15" spans="3:24" s="4" customFormat="1" ht="12.75" x14ac:dyDescent="0.2">
      <c r="C15" s="4" t="s">
        <v>43</v>
      </c>
      <c r="D15" s="19">
        <v>148.1</v>
      </c>
      <c r="E15" s="19">
        <v>307.3</v>
      </c>
      <c r="F15" s="19">
        <v>32.299999999999997</v>
      </c>
      <c r="G15" s="19">
        <v>84.3</v>
      </c>
      <c r="H15" s="19">
        <v>107.8</v>
      </c>
      <c r="I15" s="20">
        <v>24.7</v>
      </c>
      <c r="J15" s="156">
        <f>NWC!J29</f>
        <v>88.335897763309674</v>
      </c>
      <c r="K15" s="50">
        <f>NWC!K29</f>
        <v>76.826059539291307</v>
      </c>
      <c r="L15" s="50">
        <f>NWC!L29</f>
        <v>77.380726804316737</v>
      </c>
      <c r="M15" s="50">
        <f>NWC!M29</f>
        <v>76.02684338877269</v>
      </c>
      <c r="N15" s="50">
        <f>NWC!N29</f>
        <v>74.621742600202424</v>
      </c>
      <c r="O15" s="50">
        <f>NWC!O29</f>
        <v>73.165424438605967</v>
      </c>
      <c r="P15" s="50">
        <f>NWC!P29</f>
        <v>70.764399017399995</v>
      </c>
      <c r="Q15" s="50">
        <f>NWC!Q29</f>
        <v>68.292457233542336</v>
      </c>
      <c r="R15" s="155"/>
    </row>
    <row r="16" spans="3:24" s="4" customFormat="1" ht="12.75" x14ac:dyDescent="0.2">
      <c r="C16" s="29" t="s">
        <v>113</v>
      </c>
      <c r="D16" s="183">
        <f t="shared" ref="D16:Q16" si="6">SUM(D13:D15)+D11+D7</f>
        <v>1491.3</v>
      </c>
      <c r="E16" s="183">
        <f t="shared" si="6"/>
        <v>1906.8000000000002</v>
      </c>
      <c r="F16" s="183">
        <f t="shared" si="6"/>
        <v>1427.9</v>
      </c>
      <c r="G16" s="183">
        <f t="shared" si="6"/>
        <v>1428</v>
      </c>
      <c r="H16" s="183">
        <f t="shared" si="6"/>
        <v>1280.5999999999999</v>
      </c>
      <c r="I16" s="186">
        <f t="shared" si="6"/>
        <v>1224.3000000000002</v>
      </c>
      <c r="J16" s="184">
        <f t="shared" ca="1" si="6"/>
        <v>1167.4818707186696</v>
      </c>
      <c r="K16" s="183">
        <f t="shared" ca="1" si="6"/>
        <v>1041.1165690592336</v>
      </c>
      <c r="L16" s="183">
        <f t="shared" ca="1" si="6"/>
        <v>1192.0118876103261</v>
      </c>
      <c r="M16" s="183">
        <f t="shared" ca="1" si="6"/>
        <v>1473.5917965621602</v>
      </c>
      <c r="N16" s="183">
        <f t="shared" ca="1" si="6"/>
        <v>1712.2041318668623</v>
      </c>
      <c r="O16" s="183">
        <f t="shared" ca="1" si="6"/>
        <v>1920.8054382420553</v>
      </c>
      <c r="P16" s="183">
        <f t="shared" ca="1" si="6"/>
        <v>2067.7866253593938</v>
      </c>
      <c r="Q16" s="183">
        <f t="shared" ca="1" si="6"/>
        <v>1947.2379916504826</v>
      </c>
    </row>
    <row r="17" spans="3:17" x14ac:dyDescent="0.2">
      <c r="I17" s="13"/>
      <c r="J17" s="59"/>
    </row>
    <row r="18" spans="3:17" s="4" customFormat="1" ht="12.75" x14ac:dyDescent="0.2">
      <c r="C18" s="4" t="s">
        <v>44</v>
      </c>
      <c r="D18" s="19">
        <v>12508.7</v>
      </c>
      <c r="E18" s="19">
        <v>11548.4</v>
      </c>
      <c r="F18" s="19">
        <v>11682.9</v>
      </c>
      <c r="G18" s="19">
        <v>12409.4</v>
      </c>
      <c r="H18" s="19">
        <v>12572.8</v>
      </c>
      <c r="I18" s="20">
        <v>12661.6</v>
      </c>
      <c r="J18" s="156">
        <f>I18-CFS!J26+'Forecast Assumptions'!D89-'Forecast Assumptions'!D88</f>
        <v>12627.877936935423</v>
      </c>
      <c r="K18" s="50">
        <f>J18-CFS!K26+'Forecast Assumptions'!E89-'Forecast Assumptions'!E88</f>
        <v>12745.077708810873</v>
      </c>
      <c r="L18" s="50">
        <f>K18-CFS!L26+'Forecast Assumptions'!F89-'Forecast Assumptions'!F88</f>
        <v>12904.771084038399</v>
      </c>
      <c r="M18" s="50">
        <f>L18-CFS!M26+'Forecast Assumptions'!G89-'Forecast Assumptions'!G88</f>
        <v>13059.327488274805</v>
      </c>
      <c r="N18" s="50">
        <f>M18-CFS!N26+'Forecast Assumptions'!H89-'Forecast Assumptions'!H88</f>
        <v>13215.732311227726</v>
      </c>
      <c r="O18" s="50">
        <f>N18-CFS!O26+'Forecast Assumptions'!I89-'Forecast Assumptions'!I88</f>
        <v>13373.687644771471</v>
      </c>
      <c r="P18" s="50">
        <f>O18-CFS!P26+'Forecast Assumptions'!J89-'Forecast Assumptions'!J88</f>
        <v>13530.809914224956</v>
      </c>
      <c r="Q18" s="50">
        <f>P18-CFS!Q26+'Forecast Assumptions'!K89-'Forecast Assumptions'!K88</f>
        <v>13686.618353952601</v>
      </c>
    </row>
    <row r="19" spans="3:17" s="4" customFormat="1" ht="12.75" x14ac:dyDescent="0.2">
      <c r="C19" s="4" t="s">
        <v>45</v>
      </c>
      <c r="D19" s="19">
        <v>-8617</v>
      </c>
      <c r="E19" s="19">
        <v>-8310.5</v>
      </c>
      <c r="F19" s="19">
        <v>-8768.2999999999993</v>
      </c>
      <c r="G19" s="19">
        <v>-9428</v>
      </c>
      <c r="H19" s="19">
        <v>-10040</v>
      </c>
      <c r="I19" s="20">
        <v>-10337.5</v>
      </c>
      <c r="J19" s="156">
        <f>I19-CFS!J10</f>
        <v>-10953.504891530187</v>
      </c>
      <c r="K19" s="50">
        <f>J19-CFS!K10</f>
        <v>-11512.721939638526</v>
      </c>
      <c r="L19" s="50">
        <f>K19-CFS!L10</f>
        <v>-12052.410923563626</v>
      </c>
      <c r="M19" s="50">
        <f>L19-CFS!M10</f>
        <v>-12714.177346264767</v>
      </c>
      <c r="N19" s="50">
        <f>M19-CFS!N10</f>
        <v>-13318.257206858456</v>
      </c>
      <c r="O19" s="50">
        <f>N19-CFS!O10</f>
        <v>-13877.421446266233</v>
      </c>
      <c r="P19" s="50">
        <f>O19-CFS!P10</f>
        <v>-14366.242922648524</v>
      </c>
      <c r="Q19" s="50">
        <f>P19-CFS!Q10</f>
        <v>-14822.322943670521</v>
      </c>
    </row>
    <row r="20" spans="3:17" s="4" customFormat="1" ht="12.75" x14ac:dyDescent="0.2">
      <c r="C20" s="29" t="s">
        <v>114</v>
      </c>
      <c r="D20" s="183">
        <f t="shared" ref="D20:Q20" si="7">SUM(D18:D19)</f>
        <v>3891.7000000000007</v>
      </c>
      <c r="E20" s="183">
        <f t="shared" si="7"/>
        <v>3237.8999999999996</v>
      </c>
      <c r="F20" s="183">
        <f t="shared" si="7"/>
        <v>2914.6000000000004</v>
      </c>
      <c r="G20" s="183">
        <f t="shared" si="7"/>
        <v>2981.3999999999996</v>
      </c>
      <c r="H20" s="183">
        <f t="shared" si="7"/>
        <v>2532.7999999999993</v>
      </c>
      <c r="I20" s="186">
        <f t="shared" si="7"/>
        <v>2324.1000000000004</v>
      </c>
      <c r="J20" s="184">
        <f t="shared" si="7"/>
        <v>1674.3730454052366</v>
      </c>
      <c r="K20" s="183">
        <f t="shared" si="7"/>
        <v>1232.3557691723472</v>
      </c>
      <c r="L20" s="183">
        <f t="shared" si="7"/>
        <v>852.36016047477278</v>
      </c>
      <c r="M20" s="183">
        <f t="shared" si="7"/>
        <v>345.1501420100376</v>
      </c>
      <c r="N20" s="183">
        <f t="shared" si="7"/>
        <v>-102.52489563072959</v>
      </c>
      <c r="O20" s="183">
        <f t="shared" si="7"/>
        <v>-503.73380149476179</v>
      </c>
      <c r="P20" s="183">
        <f t="shared" si="7"/>
        <v>-835.43300842356803</v>
      </c>
      <c r="Q20" s="183">
        <f t="shared" si="7"/>
        <v>-1135.7045897179196</v>
      </c>
    </row>
    <row r="21" spans="3:17" s="4" customFormat="1" ht="12.75" x14ac:dyDescent="0.2">
      <c r="D21" s="6"/>
      <c r="E21" s="6"/>
      <c r="F21" s="6"/>
      <c r="G21" s="6"/>
      <c r="H21" s="6"/>
      <c r="I21" s="28"/>
      <c r="J21" s="15"/>
      <c r="K21" s="6"/>
      <c r="L21" s="6"/>
      <c r="M21" s="6"/>
      <c r="N21" s="6"/>
      <c r="O21" s="6"/>
      <c r="P21" s="6"/>
      <c r="Q21" s="6"/>
    </row>
    <row r="22" spans="3:17" s="4" customFormat="1" ht="12.75" x14ac:dyDescent="0.2">
      <c r="C22" s="4" t="s">
        <v>46</v>
      </c>
      <c r="D22" s="19">
        <v>0</v>
      </c>
      <c r="E22" s="19">
        <v>0</v>
      </c>
      <c r="F22" s="19">
        <v>0</v>
      </c>
      <c r="G22" s="19">
        <v>0</v>
      </c>
      <c r="H22" s="19">
        <v>0</v>
      </c>
      <c r="I22" s="20">
        <v>44.9</v>
      </c>
      <c r="J22" s="178">
        <f>I22</f>
        <v>44.9</v>
      </c>
      <c r="K22" s="179">
        <f t="shared" ref="K22:Q22" si="8">J22</f>
        <v>44.9</v>
      </c>
      <c r="L22" s="179">
        <f t="shared" si="8"/>
        <v>44.9</v>
      </c>
      <c r="M22" s="179">
        <f t="shared" si="8"/>
        <v>44.9</v>
      </c>
      <c r="N22" s="179">
        <f t="shared" si="8"/>
        <v>44.9</v>
      </c>
      <c r="O22" s="179">
        <f t="shared" si="8"/>
        <v>44.9</v>
      </c>
      <c r="P22" s="179">
        <f t="shared" si="8"/>
        <v>44.9</v>
      </c>
      <c r="Q22" s="179">
        <f t="shared" si="8"/>
        <v>44.9</v>
      </c>
    </row>
    <row r="23" spans="3:17" s="4" customFormat="1" ht="12.75" x14ac:dyDescent="0.2">
      <c r="C23" s="4" t="s">
        <v>47</v>
      </c>
      <c r="D23" s="19">
        <v>1764.4</v>
      </c>
      <c r="E23" s="19">
        <v>368.2</v>
      </c>
      <c r="F23" s="19">
        <v>354.6</v>
      </c>
      <c r="G23" s="19">
        <v>288.60000000000002</v>
      </c>
      <c r="H23" s="19">
        <v>287</v>
      </c>
      <c r="I23" s="20">
        <v>109.1</v>
      </c>
      <c r="J23" s="178">
        <f>I23</f>
        <v>109.1</v>
      </c>
      <c r="K23" s="179">
        <f t="shared" ref="K23:Q23" si="9">J23</f>
        <v>109.1</v>
      </c>
      <c r="L23" s="179">
        <f t="shared" si="9"/>
        <v>109.1</v>
      </c>
      <c r="M23" s="179">
        <f t="shared" si="9"/>
        <v>109.1</v>
      </c>
      <c r="N23" s="179">
        <f t="shared" si="9"/>
        <v>109.1</v>
      </c>
      <c r="O23" s="179">
        <f t="shared" si="9"/>
        <v>109.1</v>
      </c>
      <c r="P23" s="179">
        <f t="shared" si="9"/>
        <v>109.1</v>
      </c>
      <c r="Q23" s="179">
        <f t="shared" si="9"/>
        <v>109.1</v>
      </c>
    </row>
    <row r="24" spans="3:17" s="4" customFormat="1" ht="12.75" x14ac:dyDescent="0.2">
      <c r="C24" s="4" t="s">
        <v>48</v>
      </c>
      <c r="D24" s="19">
        <v>517.5</v>
      </c>
      <c r="E24" s="19">
        <v>494.3</v>
      </c>
      <c r="F24" s="19">
        <v>354.4</v>
      </c>
      <c r="G24" s="19">
        <v>14.5</v>
      </c>
      <c r="H24" s="19">
        <v>19.600000000000001</v>
      </c>
      <c r="I24" s="20">
        <v>8.3000000000000007</v>
      </c>
      <c r="J24" s="178">
        <f>I24</f>
        <v>8.3000000000000007</v>
      </c>
      <c r="K24" s="179">
        <f t="shared" ref="K24:Q24" si="10">J24</f>
        <v>8.3000000000000007</v>
      </c>
      <c r="L24" s="179">
        <f t="shared" si="10"/>
        <v>8.3000000000000007</v>
      </c>
      <c r="M24" s="179">
        <f t="shared" si="10"/>
        <v>8.3000000000000007</v>
      </c>
      <c r="N24" s="179">
        <f t="shared" si="10"/>
        <v>8.3000000000000007</v>
      </c>
      <c r="O24" s="179">
        <f t="shared" si="10"/>
        <v>8.3000000000000007</v>
      </c>
      <c r="P24" s="179">
        <f t="shared" si="10"/>
        <v>8.3000000000000007</v>
      </c>
      <c r="Q24" s="179">
        <f t="shared" si="10"/>
        <v>8.3000000000000007</v>
      </c>
    </row>
    <row r="25" spans="3:17" s="4" customFormat="1" ht="12.75" x14ac:dyDescent="0.2">
      <c r="C25" s="4" t="s">
        <v>49</v>
      </c>
      <c r="D25" s="19">
        <v>626.29999999999995</v>
      </c>
      <c r="E25" s="19">
        <v>550</v>
      </c>
      <c r="F25" s="19">
        <v>489.1</v>
      </c>
      <c r="G25" s="19">
        <v>327.10000000000002</v>
      </c>
      <c r="H25" s="19">
        <v>338.6</v>
      </c>
      <c r="I25" s="20">
        <v>340.8</v>
      </c>
      <c r="J25" s="178">
        <f>I25</f>
        <v>340.8</v>
      </c>
      <c r="K25" s="179">
        <f t="shared" ref="K25:Q25" si="11">J25</f>
        <v>340.8</v>
      </c>
      <c r="L25" s="179">
        <f t="shared" si="11"/>
        <v>340.8</v>
      </c>
      <c r="M25" s="179">
        <f t="shared" si="11"/>
        <v>340.8</v>
      </c>
      <c r="N25" s="179">
        <f t="shared" si="11"/>
        <v>340.8</v>
      </c>
      <c r="O25" s="179">
        <f t="shared" si="11"/>
        <v>340.8</v>
      </c>
      <c r="P25" s="179">
        <f t="shared" si="11"/>
        <v>340.8</v>
      </c>
      <c r="Q25" s="179">
        <f t="shared" si="11"/>
        <v>340.8</v>
      </c>
    </row>
    <row r="26" spans="3:17" s="42" customFormat="1" ht="13.5" thickBot="1" x14ac:dyDescent="0.25">
      <c r="C26" s="41" t="s">
        <v>50</v>
      </c>
      <c r="D26" s="211">
        <f t="shared" ref="D26:Q26" si="12">SUM(D22:D25)+D20+D16</f>
        <v>8291.2000000000007</v>
      </c>
      <c r="E26" s="211">
        <f t="shared" si="12"/>
        <v>6557.2</v>
      </c>
      <c r="F26" s="211">
        <f t="shared" si="12"/>
        <v>5540.6</v>
      </c>
      <c r="G26" s="211">
        <f t="shared" si="12"/>
        <v>5039.5999999999995</v>
      </c>
      <c r="H26" s="211">
        <f t="shared" si="12"/>
        <v>4458.5999999999985</v>
      </c>
      <c r="I26" s="190">
        <f t="shared" si="12"/>
        <v>4051.5000000000005</v>
      </c>
      <c r="J26" s="352">
        <f t="shared" ca="1" si="12"/>
        <v>3344.9549161239061</v>
      </c>
      <c r="K26" s="211">
        <f t="shared" ca="1" si="12"/>
        <v>2776.5723382315809</v>
      </c>
      <c r="L26" s="211">
        <f t="shared" ca="1" si="12"/>
        <v>2547.4720480850988</v>
      </c>
      <c r="M26" s="211">
        <f t="shared" ca="1" si="12"/>
        <v>2321.8419385721977</v>
      </c>
      <c r="N26" s="211">
        <f t="shared" ca="1" si="12"/>
        <v>2112.7792362361329</v>
      </c>
      <c r="O26" s="211">
        <f t="shared" ca="1" si="12"/>
        <v>1920.1716367472936</v>
      </c>
      <c r="P26" s="211">
        <f t="shared" ca="1" si="12"/>
        <v>1735.4536169358257</v>
      </c>
      <c r="Q26" s="211">
        <f t="shared" ca="1" si="12"/>
        <v>1314.6334019325632</v>
      </c>
    </row>
    <row r="27" spans="3:17" s="4" customFormat="1" ht="13.5" thickTop="1" x14ac:dyDescent="0.2">
      <c r="D27" s="6"/>
      <c r="E27" s="6"/>
      <c r="F27" s="6"/>
      <c r="G27" s="6"/>
      <c r="H27" s="6"/>
      <c r="I27" s="28"/>
      <c r="J27" s="15"/>
      <c r="K27" s="6"/>
      <c r="L27" s="6"/>
      <c r="M27" s="6"/>
      <c r="N27" s="6"/>
      <c r="O27" s="6"/>
      <c r="P27" s="6"/>
      <c r="Q27" s="6"/>
    </row>
    <row r="28" spans="3:17" s="42" customFormat="1" ht="12.75" x14ac:dyDescent="0.2">
      <c r="C28" s="42" t="s">
        <v>115</v>
      </c>
      <c r="D28" s="47"/>
      <c r="E28" s="47"/>
      <c r="F28" s="47"/>
      <c r="G28" s="47"/>
      <c r="H28" s="47"/>
      <c r="I28" s="48"/>
      <c r="J28" s="353"/>
      <c r="K28" s="47"/>
      <c r="L28" s="47"/>
      <c r="M28" s="47"/>
      <c r="N28" s="47"/>
      <c r="O28" s="47"/>
      <c r="P28" s="47"/>
      <c r="Q28" s="47"/>
    </row>
    <row r="29" spans="3:17" s="4" customFormat="1" ht="12.75" x14ac:dyDescent="0.2">
      <c r="C29" s="4" t="s">
        <v>51</v>
      </c>
      <c r="D29" s="19">
        <v>95.4</v>
      </c>
      <c r="E29" s="19">
        <v>38.299999999999997</v>
      </c>
      <c r="F29" s="19">
        <v>60.2</v>
      </c>
      <c r="G29" s="19">
        <v>68.400000000000006</v>
      </c>
      <c r="H29" s="19">
        <v>22.3</v>
      </c>
      <c r="I29" s="20">
        <v>75.7</v>
      </c>
      <c r="J29" s="156">
        <f>-IS!J8/365*NWC!J32</f>
        <v>46.26081621117666</v>
      </c>
      <c r="K29" s="50">
        <f>-IS!K8/365*NWC!K32</f>
        <v>40.233204286878717</v>
      </c>
      <c r="L29" s="50">
        <f>-IS!L8/365*NWC!L32</f>
        <v>40.523679179367491</v>
      </c>
      <c r="M29" s="50">
        <f>-IS!M8/365*NWC!M32</f>
        <v>39.814661062795444</v>
      </c>
      <c r="N29" s="50">
        <f>-IS!N8/365*NWC!N32</f>
        <v>39.078820810032127</v>
      </c>
      <c r="O29" s="50">
        <f>-IS!O8/365*NWC!O32</f>
        <v>38.31615842107756</v>
      </c>
      <c r="P29" s="50">
        <f>-IS!P8/365*NWC!P32</f>
        <v>37.058760256331595</v>
      </c>
      <c r="Q29" s="50">
        <f>-IS!Q8/365*NWC!Q32</f>
        <v>35.764223749166952</v>
      </c>
    </row>
    <row r="30" spans="3:17" s="4" customFormat="1" ht="12.75" x14ac:dyDescent="0.2">
      <c r="C30" s="4" t="s">
        <v>52</v>
      </c>
      <c r="D30" s="19">
        <v>695.5</v>
      </c>
      <c r="E30" s="19">
        <v>418.3</v>
      </c>
      <c r="F30" s="19">
        <v>381.3</v>
      </c>
      <c r="G30" s="19">
        <v>379.2</v>
      </c>
      <c r="H30" s="19">
        <v>498.6</v>
      </c>
      <c r="I30" s="20">
        <v>373.8</v>
      </c>
      <c r="J30" s="178">
        <f t="shared" ref="J30:Q30" si="13">J61</f>
        <v>401.00724999999994</v>
      </c>
      <c r="K30" s="179">
        <f t="shared" si="13"/>
        <v>348.75749999999999</v>
      </c>
      <c r="L30" s="179">
        <f t="shared" si="13"/>
        <v>351.27545249999997</v>
      </c>
      <c r="M30" s="179">
        <f t="shared" si="13"/>
        <v>345.12940000000003</v>
      </c>
      <c r="N30" s="179">
        <f t="shared" si="13"/>
        <v>338.75084250000003</v>
      </c>
      <c r="O30" s="179">
        <f t="shared" si="13"/>
        <v>332.13978000000003</v>
      </c>
      <c r="P30" s="179">
        <f t="shared" si="13"/>
        <v>321.24015000000009</v>
      </c>
      <c r="Q30" s="179">
        <f t="shared" si="13"/>
        <v>310.01858999999996</v>
      </c>
    </row>
    <row r="31" spans="3:17" s="4" customFormat="1" ht="12.75" x14ac:dyDescent="0.2">
      <c r="C31" s="4" t="s">
        <v>53</v>
      </c>
      <c r="D31" s="19">
        <v>0</v>
      </c>
      <c r="E31" s="19">
        <v>0</v>
      </c>
      <c r="F31" s="19">
        <v>0</v>
      </c>
      <c r="G31" s="19">
        <v>0</v>
      </c>
      <c r="H31" s="19">
        <v>0</v>
      </c>
      <c r="I31" s="20">
        <v>0</v>
      </c>
      <c r="J31" s="156">
        <f ca="1">'Debt Schedule'!J18</f>
        <v>0</v>
      </c>
      <c r="K31" s="50">
        <f>'Debt Schedule'!K18</f>
        <v>0</v>
      </c>
      <c r="L31" s="50">
        <f>'Debt Schedule'!L18</f>
        <v>0</v>
      </c>
      <c r="M31" s="50">
        <f>'Debt Schedule'!M18</f>
        <v>0</v>
      </c>
      <c r="N31" s="50">
        <f>'Debt Schedule'!N18</f>
        <v>0</v>
      </c>
      <c r="O31" s="50">
        <f>'Debt Schedule'!O18</f>
        <v>0</v>
      </c>
      <c r="P31" s="50">
        <f>'Debt Schedule'!P18</f>
        <v>0</v>
      </c>
      <c r="Q31" s="50">
        <f>'Debt Schedule'!Q18</f>
        <v>0</v>
      </c>
    </row>
    <row r="32" spans="3:17" s="4" customFormat="1" ht="12.75" x14ac:dyDescent="0.2">
      <c r="C32" s="4" t="s">
        <v>54</v>
      </c>
      <c r="D32" s="19">
        <v>0</v>
      </c>
      <c r="E32" s="19">
        <v>3170.5</v>
      </c>
      <c r="F32" s="19">
        <v>100</v>
      </c>
      <c r="G32" s="19">
        <v>100</v>
      </c>
      <c r="H32" s="19">
        <v>100</v>
      </c>
      <c r="I32" s="20">
        <v>589.4</v>
      </c>
      <c r="J32" s="156">
        <f ca="1">ABS(SUM('Debt Schedule'!J38:J39,'Debt Schedule'!J28:J29,'Debt Schedule'!J48:J49))</f>
        <v>775.55065592896403</v>
      </c>
      <c r="K32" s="50">
        <f ca="1">ABS(SUM('Debt Schedule'!K38:K39,'Debt Schedule'!K28:K29,'Debt Schedule'!K48:K49))</f>
        <v>351.02934407103589</v>
      </c>
      <c r="L32" s="50">
        <f ca="1">ABS(SUM('Debt Schedule'!L38:L39,'Debt Schedule'!L28:L29,'Debt Schedule'!L48:L49))</f>
        <v>127.64000000000001</v>
      </c>
      <c r="M32" s="50">
        <f ca="1">ABS(SUM('Debt Schedule'!M38:M39,'Debt Schedule'!M28:M29,'Debt Schedule'!M48:M49))</f>
        <v>127.64000000000001</v>
      </c>
      <c r="N32" s="50">
        <f ca="1">ABS(SUM('Debt Schedule'!N38:N39,'Debt Schedule'!N28:N29,'Debt Schedule'!N48:N49))</f>
        <v>127.64000000000001</v>
      </c>
      <c r="O32" s="50">
        <f ca="1">ABS(SUM('Debt Schedule'!O38:O39,'Debt Schedule'!O28:O29,'Debt Schedule'!O48:O49))</f>
        <v>127.64000000000001</v>
      </c>
      <c r="P32" s="50">
        <f ca="1">ABS(SUM('Debt Schedule'!P38:P39,'Debt Schedule'!P28:P29,'Debt Schedule'!P48:P49))</f>
        <v>127.64000000000001</v>
      </c>
      <c r="Q32" s="50">
        <f ca="1">ABS(SUM('Debt Schedule'!Q38:Q39,'Debt Schedule'!Q28:Q29,'Debt Schedule'!Q48:Q49))</f>
        <v>382.92000000000007</v>
      </c>
    </row>
    <row r="33" spans="3:17" s="4" customFormat="1" ht="12.75" x14ac:dyDescent="0.2">
      <c r="C33" s="4" t="s">
        <v>55</v>
      </c>
      <c r="D33" s="19">
        <v>284.2</v>
      </c>
      <c r="E33" s="19">
        <v>240.8</v>
      </c>
      <c r="F33" s="19">
        <v>251.5</v>
      </c>
      <c r="G33" s="19">
        <v>251.2</v>
      </c>
      <c r="H33" s="19">
        <v>185.7</v>
      </c>
      <c r="I33" s="20">
        <v>151.9</v>
      </c>
      <c r="J33" s="156">
        <f>'Debt Schedule'!J59</f>
        <v>132.95654250238778</v>
      </c>
      <c r="K33" s="50">
        <f>'Debt Schedule'!K59</f>
        <v>114.01308500477555</v>
      </c>
      <c r="L33" s="50">
        <f>'Debt Schedule'!L59</f>
        <v>95.069627507163318</v>
      </c>
      <c r="M33" s="50">
        <f>'Debt Schedule'!M59</f>
        <v>76.126170009551089</v>
      </c>
      <c r="N33" s="50">
        <f>'Debt Schedule'!N59</f>
        <v>57.18271251193886</v>
      </c>
      <c r="O33" s="50">
        <f>'Debt Schedule'!O59</f>
        <v>38.239255014326631</v>
      </c>
      <c r="P33" s="50">
        <f>'Debt Schedule'!P59</f>
        <v>19.295797516714405</v>
      </c>
      <c r="Q33" s="50">
        <f>'Debt Schedule'!Q59</f>
        <v>0.35234001910217927</v>
      </c>
    </row>
    <row r="34" spans="3:17" s="4" customFormat="1" ht="12.75" x14ac:dyDescent="0.2">
      <c r="C34" s="4" t="s">
        <v>56</v>
      </c>
      <c r="D34" s="19">
        <v>159.6</v>
      </c>
      <c r="E34" s="19">
        <v>52.2</v>
      </c>
      <c r="F34" s="19">
        <v>115.1</v>
      </c>
      <c r="G34" s="19">
        <v>186</v>
      </c>
      <c r="H34" s="19">
        <v>230.5</v>
      </c>
      <c r="I34" s="20">
        <v>175.3</v>
      </c>
      <c r="J34" s="178">
        <f t="shared" ref="J34:Q34" si="14">+I34</f>
        <v>175.3</v>
      </c>
      <c r="K34" s="179">
        <f t="shared" si="14"/>
        <v>175.3</v>
      </c>
      <c r="L34" s="179">
        <f t="shared" si="14"/>
        <v>175.3</v>
      </c>
      <c r="M34" s="179">
        <f t="shared" si="14"/>
        <v>175.3</v>
      </c>
      <c r="N34" s="179">
        <f t="shared" si="14"/>
        <v>175.3</v>
      </c>
      <c r="O34" s="179">
        <f t="shared" si="14"/>
        <v>175.3</v>
      </c>
      <c r="P34" s="179">
        <f t="shared" si="14"/>
        <v>175.3</v>
      </c>
      <c r="Q34" s="179">
        <f t="shared" si="14"/>
        <v>175.3</v>
      </c>
    </row>
    <row r="35" spans="3:17" s="4" customFormat="1" ht="12.75" x14ac:dyDescent="0.2">
      <c r="C35" s="4" t="s">
        <v>57</v>
      </c>
      <c r="D35" s="19">
        <v>240.1</v>
      </c>
      <c r="E35" s="19">
        <v>488.2</v>
      </c>
      <c r="F35" s="19">
        <v>435.5</v>
      </c>
      <c r="G35" s="19">
        <v>336.5</v>
      </c>
      <c r="H35" s="19">
        <v>188.9</v>
      </c>
      <c r="I35" s="20">
        <v>171.3</v>
      </c>
      <c r="J35" s="178">
        <f>J64</f>
        <v>194.77494999999999</v>
      </c>
      <c r="K35" s="179">
        <f t="shared" ref="K35:Q35" si="15">K64</f>
        <v>169.39650000000003</v>
      </c>
      <c r="L35" s="179">
        <f t="shared" si="15"/>
        <v>170.6195055</v>
      </c>
      <c r="M35" s="179">
        <f t="shared" si="15"/>
        <v>167.63428000000005</v>
      </c>
      <c r="N35" s="179">
        <f t="shared" si="15"/>
        <v>164.53612350000003</v>
      </c>
      <c r="O35" s="179">
        <f t="shared" si="15"/>
        <v>161.32503600000004</v>
      </c>
      <c r="P35" s="179">
        <f t="shared" si="15"/>
        <v>156.03093000000007</v>
      </c>
      <c r="Q35" s="179">
        <f t="shared" si="15"/>
        <v>150.58045799999999</v>
      </c>
    </row>
    <row r="36" spans="3:17" s="4" customFormat="1" ht="12.75" x14ac:dyDescent="0.2">
      <c r="C36" s="29" t="s">
        <v>116</v>
      </c>
      <c r="D36" s="183">
        <f t="shared" ref="D36:I36" si="16">SUM(D29:D35)</f>
        <v>1474.7999999999997</v>
      </c>
      <c r="E36" s="183">
        <f t="shared" si="16"/>
        <v>4408.3</v>
      </c>
      <c r="F36" s="183">
        <f t="shared" si="16"/>
        <v>1343.6</v>
      </c>
      <c r="G36" s="183">
        <f t="shared" si="16"/>
        <v>1321.3</v>
      </c>
      <c r="H36" s="183">
        <f t="shared" si="16"/>
        <v>1226</v>
      </c>
      <c r="I36" s="186">
        <f t="shared" si="16"/>
        <v>1537.4</v>
      </c>
      <c r="J36" s="184">
        <f ca="1">SUM(J29:J35)</f>
        <v>1725.8502146425283</v>
      </c>
      <c r="K36" s="183">
        <f t="shared" ref="K36:Q36" ca="1" si="17">SUM(K29:K35)</f>
        <v>1198.7296333626903</v>
      </c>
      <c r="L36" s="183">
        <f t="shared" ca="1" si="17"/>
        <v>960.42826468653084</v>
      </c>
      <c r="M36" s="183">
        <f t="shared" ca="1" si="17"/>
        <v>931.64451107234663</v>
      </c>
      <c r="N36" s="183">
        <f t="shared" ca="1" si="17"/>
        <v>902.48849932197095</v>
      </c>
      <c r="O36" s="183">
        <f t="shared" ca="1" si="17"/>
        <v>872.96022943540436</v>
      </c>
      <c r="P36" s="183">
        <f t="shared" ca="1" si="17"/>
        <v>836.56563777304632</v>
      </c>
      <c r="Q36" s="183">
        <f t="shared" ca="1" si="17"/>
        <v>1054.9356117682692</v>
      </c>
    </row>
    <row r="37" spans="3:17" s="4" customFormat="1" ht="12.75" x14ac:dyDescent="0.2">
      <c r="D37" s="6"/>
      <c r="E37" s="6"/>
      <c r="F37" s="6"/>
      <c r="G37" s="6"/>
      <c r="H37" s="6"/>
      <c r="I37" s="28"/>
      <c r="J37" s="15"/>
      <c r="K37" s="6"/>
      <c r="L37" s="6"/>
      <c r="M37" s="6"/>
      <c r="N37" s="6"/>
      <c r="O37" s="6"/>
      <c r="P37" s="6"/>
      <c r="Q37" s="6"/>
    </row>
    <row r="38" spans="3:17" s="4" customFormat="1" ht="12.75" x14ac:dyDescent="0.2">
      <c r="C38" s="4" t="s">
        <v>58</v>
      </c>
      <c r="D38" s="19">
        <v>3071.7</v>
      </c>
      <c r="E38" s="19">
        <v>0</v>
      </c>
      <c r="F38" s="19">
        <v>2468.6999999999998</v>
      </c>
      <c r="G38" s="19">
        <v>2372.8000000000002</v>
      </c>
      <c r="H38" s="19">
        <v>1984.6</v>
      </c>
      <c r="I38" s="20">
        <v>1386.4</v>
      </c>
      <c r="J38" s="156">
        <f ca="1">'Debt Schedule'!J40+'Debt Schedule'!J30+'Debt Schedule'!J50-J32</f>
        <v>596.59868814207175</v>
      </c>
      <c r="K38" s="50">
        <f ca="1">'Debt Schedule'!K40+'Debt Schedule'!K30+'Debt Schedule'!K50-K32</f>
        <v>670.09065592896411</v>
      </c>
      <c r="L38" s="50">
        <f ca="1">'Debt Schedule'!L40+'Debt Schedule'!L30+'Debt Schedule'!L50-L32</f>
        <v>765.84</v>
      </c>
      <c r="M38" s="50">
        <f ca="1">'Debt Schedule'!M40+'Debt Schedule'!M30+'Debt Schedule'!M50-M32</f>
        <v>638.20000000000005</v>
      </c>
      <c r="N38" s="50">
        <f ca="1">'Debt Schedule'!N40+'Debt Schedule'!N30+'Debt Schedule'!N50-N32</f>
        <v>510.56000000000006</v>
      </c>
      <c r="O38" s="50">
        <f ca="1">'Debt Schedule'!O40+'Debt Schedule'!O30+'Debt Schedule'!O50-O32</f>
        <v>382.92000000000007</v>
      </c>
      <c r="P38" s="50">
        <f ca="1">'Debt Schedule'!P40+'Debt Schedule'!P30+'Debt Schedule'!P50-P32</f>
        <v>255.28000000000006</v>
      </c>
      <c r="Q38" s="50">
        <f ca="1">'Debt Schedule'!Q40+'Debt Schedule'!Q30+'Debt Schedule'!Q50-Q32</f>
        <v>-382.92000000000007</v>
      </c>
    </row>
    <row r="39" spans="3:17" s="4" customFormat="1" ht="12.75" x14ac:dyDescent="0.2">
      <c r="C39" s="4" t="s">
        <v>59</v>
      </c>
      <c r="D39" s="19">
        <v>1140.9000000000001</v>
      </c>
      <c r="E39" s="19">
        <v>975.7</v>
      </c>
      <c r="F39" s="19">
        <v>911.9</v>
      </c>
      <c r="G39" s="19">
        <v>732.9</v>
      </c>
      <c r="H39" s="19">
        <v>721</v>
      </c>
      <c r="I39" s="20">
        <v>581</v>
      </c>
      <c r="J39" s="156">
        <f>'Debt Schedule'!J71</f>
        <v>508.54345749761222</v>
      </c>
      <c r="K39" s="50">
        <f>'Debt Schedule'!K71</f>
        <v>436.08691499522445</v>
      </c>
      <c r="L39" s="50">
        <f>'Debt Schedule'!L71</f>
        <v>363.63037249283667</v>
      </c>
      <c r="M39" s="50">
        <f>'Debt Schedule'!M71</f>
        <v>291.17382999044889</v>
      </c>
      <c r="N39" s="50">
        <f>'Debt Schedule'!N71</f>
        <v>218.71728748806112</v>
      </c>
      <c r="O39" s="50">
        <f>'Debt Schedule'!O71</f>
        <v>146.26074498567334</v>
      </c>
      <c r="P39" s="50">
        <f>'Debt Schedule'!P71</f>
        <v>73.804202483285565</v>
      </c>
      <c r="Q39" s="50">
        <f>'Debt Schedule'!Q71</f>
        <v>1.347659980897788</v>
      </c>
    </row>
    <row r="40" spans="3:17" s="4" customFormat="1" ht="12.75" x14ac:dyDescent="0.2">
      <c r="C40" s="4" t="s">
        <v>60</v>
      </c>
      <c r="D40" s="19">
        <v>793.4</v>
      </c>
      <c r="E40" s="19">
        <v>673.3</v>
      </c>
      <c r="F40" s="19">
        <v>677.3</v>
      </c>
      <c r="G40" s="19">
        <v>551.5</v>
      </c>
      <c r="H40" s="19">
        <v>420.5</v>
      </c>
      <c r="I40" s="20">
        <v>413</v>
      </c>
      <c r="J40" s="178">
        <f t="shared" ref="J40:Q40" si="18">+I40</f>
        <v>413</v>
      </c>
      <c r="K40" s="179">
        <f t="shared" si="18"/>
        <v>413</v>
      </c>
      <c r="L40" s="179">
        <f t="shared" si="18"/>
        <v>413</v>
      </c>
      <c r="M40" s="179">
        <f t="shared" si="18"/>
        <v>413</v>
      </c>
      <c r="N40" s="179">
        <f t="shared" si="18"/>
        <v>413</v>
      </c>
      <c r="O40" s="179">
        <f t="shared" si="18"/>
        <v>413</v>
      </c>
      <c r="P40" s="179">
        <f t="shared" si="18"/>
        <v>413</v>
      </c>
      <c r="Q40" s="179">
        <f t="shared" si="18"/>
        <v>413</v>
      </c>
    </row>
    <row r="41" spans="3:17" s="4" customFormat="1" ht="12.75" x14ac:dyDescent="0.2">
      <c r="C41" s="4" t="s">
        <v>61</v>
      </c>
      <c r="D41" s="19">
        <v>826.8</v>
      </c>
      <c r="E41" s="19">
        <v>709.9</v>
      </c>
      <c r="F41" s="19">
        <v>605.20000000000005</v>
      </c>
      <c r="G41" s="19">
        <v>520.6</v>
      </c>
      <c r="H41" s="19">
        <v>465.9</v>
      </c>
      <c r="I41" s="20">
        <v>406.4</v>
      </c>
      <c r="J41" s="178">
        <f>I41</f>
        <v>406.4</v>
      </c>
      <c r="K41" s="179">
        <f t="shared" ref="K41:Q41" si="19">J41</f>
        <v>406.4</v>
      </c>
      <c r="L41" s="179">
        <f t="shared" si="19"/>
        <v>406.4</v>
      </c>
      <c r="M41" s="179">
        <f t="shared" si="19"/>
        <v>406.4</v>
      </c>
      <c r="N41" s="179">
        <f t="shared" si="19"/>
        <v>406.4</v>
      </c>
      <c r="O41" s="179">
        <f t="shared" si="19"/>
        <v>406.4</v>
      </c>
      <c r="P41" s="179">
        <f t="shared" si="19"/>
        <v>406.4</v>
      </c>
      <c r="Q41" s="179">
        <f t="shared" si="19"/>
        <v>406.4</v>
      </c>
    </row>
    <row r="42" spans="3:17" s="4" customFormat="1" ht="12.75" x14ac:dyDescent="0.2">
      <c r="C42" s="43" t="s">
        <v>62</v>
      </c>
      <c r="D42" s="180">
        <f t="shared" ref="D42:Q42" si="20">SUM(D38:D41)+D36</f>
        <v>7307.6</v>
      </c>
      <c r="E42" s="180">
        <f t="shared" si="20"/>
        <v>6767.2000000000007</v>
      </c>
      <c r="F42" s="180">
        <f t="shared" si="20"/>
        <v>6006.6999999999989</v>
      </c>
      <c r="G42" s="180">
        <f t="shared" si="20"/>
        <v>5499.1</v>
      </c>
      <c r="H42" s="180">
        <f t="shared" si="20"/>
        <v>4818</v>
      </c>
      <c r="I42" s="185">
        <f t="shared" si="20"/>
        <v>4324.2000000000007</v>
      </c>
      <c r="J42" s="181">
        <f t="shared" ca="1" si="20"/>
        <v>3650.3923602822124</v>
      </c>
      <c r="K42" s="180">
        <f t="shared" ca="1" si="20"/>
        <v>3124.3072042868789</v>
      </c>
      <c r="L42" s="180">
        <f t="shared" ca="1" si="20"/>
        <v>2909.2986371793677</v>
      </c>
      <c r="M42" s="180">
        <f t="shared" ca="1" si="20"/>
        <v>2680.4183410627957</v>
      </c>
      <c r="N42" s="180">
        <f t="shared" ca="1" si="20"/>
        <v>2451.1657868100319</v>
      </c>
      <c r="O42" s="180">
        <f t="shared" ca="1" si="20"/>
        <v>2221.5409744210779</v>
      </c>
      <c r="P42" s="180">
        <f t="shared" ca="1" si="20"/>
        <v>1985.0498402563319</v>
      </c>
      <c r="Q42" s="180">
        <f t="shared" ca="1" si="20"/>
        <v>1492.763271749167</v>
      </c>
    </row>
    <row r="43" spans="3:17" s="4" customFormat="1" ht="12.75" x14ac:dyDescent="0.2">
      <c r="D43" s="6"/>
      <c r="E43" s="6"/>
      <c r="F43" s="6"/>
      <c r="G43" s="6"/>
      <c r="H43" s="6"/>
      <c r="I43" s="28"/>
      <c r="J43" s="15"/>
      <c r="K43" s="6"/>
      <c r="L43" s="6"/>
      <c r="M43" s="6"/>
      <c r="N43" s="6"/>
      <c r="O43" s="6"/>
      <c r="P43" s="6"/>
      <c r="Q43" s="6"/>
    </row>
    <row r="44" spans="3:17" s="42" customFormat="1" ht="12.75" x14ac:dyDescent="0.2">
      <c r="C44" s="42" t="s">
        <v>121</v>
      </c>
      <c r="D44" s="47"/>
      <c r="E44" s="47"/>
      <c r="F44" s="47"/>
      <c r="G44" s="47"/>
      <c r="H44" s="47"/>
      <c r="I44" s="48"/>
      <c r="J44" s="353"/>
      <c r="K44" s="47"/>
      <c r="L44" s="47"/>
      <c r="M44" s="47"/>
      <c r="N44" s="47"/>
      <c r="O44" s="47"/>
      <c r="P44" s="47"/>
      <c r="Q44" s="47"/>
    </row>
    <row r="45" spans="3:17" s="4" customFormat="1" ht="12.75" x14ac:dyDescent="0.2">
      <c r="C45" s="4" t="s">
        <v>63</v>
      </c>
      <c r="D45" s="19">
        <v>210.9</v>
      </c>
      <c r="E45" s="19">
        <v>211.7</v>
      </c>
      <c r="F45" s="19">
        <v>214.2</v>
      </c>
      <c r="G45" s="19">
        <v>215.2</v>
      </c>
      <c r="H45" s="19">
        <v>216.7</v>
      </c>
      <c r="I45" s="20">
        <v>217.5</v>
      </c>
      <c r="J45" s="178">
        <f>I45</f>
        <v>217.5</v>
      </c>
      <c r="K45" s="179">
        <f t="shared" ref="K45:Q45" si="21">J45</f>
        <v>217.5</v>
      </c>
      <c r="L45" s="179">
        <f t="shared" si="21"/>
        <v>217.5</v>
      </c>
      <c r="M45" s="179">
        <f t="shared" si="21"/>
        <v>217.5</v>
      </c>
      <c r="N45" s="179">
        <f t="shared" si="21"/>
        <v>217.5</v>
      </c>
      <c r="O45" s="179">
        <f t="shared" si="21"/>
        <v>217.5</v>
      </c>
      <c r="P45" s="179">
        <f t="shared" si="21"/>
        <v>217.5</v>
      </c>
      <c r="Q45" s="179">
        <f t="shared" si="21"/>
        <v>217.5</v>
      </c>
    </row>
    <row r="46" spans="3:17" s="4" customFormat="1" ht="12.75" x14ac:dyDescent="0.2">
      <c r="C46" s="4" t="s">
        <v>64</v>
      </c>
      <c r="D46" s="19">
        <v>1294.7</v>
      </c>
      <c r="E46" s="19">
        <v>1294.7</v>
      </c>
      <c r="F46" s="19">
        <v>1294.7</v>
      </c>
      <c r="G46" s="19">
        <v>1294.7</v>
      </c>
      <c r="H46" s="19">
        <v>1294.7</v>
      </c>
      <c r="I46" s="20">
        <v>1294.7</v>
      </c>
      <c r="J46" s="178">
        <f>I46</f>
        <v>1294.7</v>
      </c>
      <c r="K46" s="179">
        <f t="shared" ref="K46:Q46" si="22">J46</f>
        <v>1294.7</v>
      </c>
      <c r="L46" s="179">
        <f t="shared" si="22"/>
        <v>1294.7</v>
      </c>
      <c r="M46" s="179">
        <f t="shared" si="22"/>
        <v>1294.7</v>
      </c>
      <c r="N46" s="179">
        <f t="shared" si="22"/>
        <v>1294.7</v>
      </c>
      <c r="O46" s="179">
        <f t="shared" si="22"/>
        <v>1294.7</v>
      </c>
      <c r="P46" s="179">
        <f t="shared" si="22"/>
        <v>1294.7</v>
      </c>
      <c r="Q46" s="179">
        <f t="shared" si="22"/>
        <v>1294.7</v>
      </c>
    </row>
    <row r="47" spans="3:17" s="4" customFormat="1" ht="12.75" x14ac:dyDescent="0.2">
      <c r="C47" s="4" t="s">
        <v>65</v>
      </c>
      <c r="D47" s="19">
        <v>-1070.5999999999999</v>
      </c>
      <c r="E47" s="19">
        <v>-2272</v>
      </c>
      <c r="F47" s="19">
        <v>-2295.1999999999998</v>
      </c>
      <c r="G47" s="19">
        <v>-2241.3000000000002</v>
      </c>
      <c r="H47" s="19">
        <v>-2346.4</v>
      </c>
      <c r="I47" s="20">
        <v>-2285.6999999999998</v>
      </c>
      <c r="J47" s="156">
        <f ca="1">I47+IS!J40-'Debt Schedule'!J77</f>
        <v>-2318.4374441583063</v>
      </c>
      <c r="K47" s="50">
        <f ca="1">J47+IS!K40-'Debt Schedule'!K77</f>
        <v>-2360.7348660552966</v>
      </c>
      <c r="L47" s="50">
        <f ca="1">K47+IS!L40-'Debt Schedule'!L77</f>
        <v>-2374.8265890942675</v>
      </c>
      <c r="M47" s="50">
        <f ca="1">L47+IS!M40-'Debt Schedule'!M77</f>
        <v>-2371.576402490598</v>
      </c>
      <c r="N47" s="50">
        <f ca="1">M47+IS!N40-'Debt Schedule'!N77</f>
        <v>-2351.3865505739</v>
      </c>
      <c r="O47" s="50">
        <f ca="1">N47+IS!O40-'Debt Schedule'!O77</f>
        <v>-2314.3693376737856</v>
      </c>
      <c r="P47" s="50">
        <f ca="1">O47+IS!P40-'Debt Schedule'!P77</f>
        <v>-2262.5962233205082</v>
      </c>
      <c r="Q47" s="50">
        <f ca="1">P47+IS!Q40-'Debt Schedule'!Q77</f>
        <v>-2191.1298698166079</v>
      </c>
    </row>
    <row r="48" spans="3:17" s="4" customFormat="1" ht="12.75" x14ac:dyDescent="0.2">
      <c r="C48" s="4" t="s">
        <v>66</v>
      </c>
      <c r="D48" s="19">
        <v>0</v>
      </c>
      <c r="E48" s="19">
        <v>0</v>
      </c>
      <c r="F48" s="19">
        <v>0</v>
      </c>
      <c r="G48" s="19">
        <v>0</v>
      </c>
      <c r="H48" s="19">
        <v>0</v>
      </c>
      <c r="I48" s="20">
        <v>0</v>
      </c>
      <c r="J48" s="178">
        <f>I48</f>
        <v>0</v>
      </c>
      <c r="K48" s="179">
        <f t="shared" ref="K48:Q48" si="23">J48</f>
        <v>0</v>
      </c>
      <c r="L48" s="179">
        <f t="shared" si="23"/>
        <v>0</v>
      </c>
      <c r="M48" s="179">
        <f t="shared" si="23"/>
        <v>0</v>
      </c>
      <c r="N48" s="179">
        <f t="shared" si="23"/>
        <v>0</v>
      </c>
      <c r="O48" s="179">
        <f t="shared" si="23"/>
        <v>0</v>
      </c>
      <c r="P48" s="179">
        <f t="shared" si="23"/>
        <v>0</v>
      </c>
      <c r="Q48" s="179">
        <f t="shared" si="23"/>
        <v>0</v>
      </c>
    </row>
    <row r="49" spans="3:18" s="4" customFormat="1" ht="12.75" x14ac:dyDescent="0.2">
      <c r="C49" s="4" t="s">
        <v>67</v>
      </c>
      <c r="D49" s="19">
        <v>548.6</v>
      </c>
      <c r="E49" s="19">
        <v>555.6</v>
      </c>
      <c r="F49" s="19">
        <v>320.2</v>
      </c>
      <c r="G49" s="19">
        <v>271.89999999999998</v>
      </c>
      <c r="H49" s="19">
        <v>475.6</v>
      </c>
      <c r="I49" s="20">
        <v>500.8</v>
      </c>
      <c r="J49" s="178">
        <f t="shared" ref="J49:Q49" si="24">+I49</f>
        <v>500.8</v>
      </c>
      <c r="K49" s="179">
        <f t="shared" si="24"/>
        <v>500.8</v>
      </c>
      <c r="L49" s="179">
        <f t="shared" si="24"/>
        <v>500.8</v>
      </c>
      <c r="M49" s="179">
        <f t="shared" si="24"/>
        <v>500.8</v>
      </c>
      <c r="N49" s="179">
        <f t="shared" si="24"/>
        <v>500.8</v>
      </c>
      <c r="O49" s="179">
        <f t="shared" si="24"/>
        <v>500.8</v>
      </c>
      <c r="P49" s="179">
        <f t="shared" si="24"/>
        <v>500.8</v>
      </c>
      <c r="Q49" s="179">
        <f t="shared" si="24"/>
        <v>500.8</v>
      </c>
      <c r="R49" s="155"/>
    </row>
    <row r="50" spans="3:18" s="4" customFormat="1" ht="12.75" x14ac:dyDescent="0.2">
      <c r="C50" s="29" t="s">
        <v>117</v>
      </c>
      <c r="D50" s="183">
        <f t="shared" ref="D50:I50" si="25">SUM(D45:D49)</f>
        <v>983.60000000000025</v>
      </c>
      <c r="E50" s="183">
        <f t="shared" si="25"/>
        <v>-209.99999999999989</v>
      </c>
      <c r="F50" s="183">
        <f t="shared" si="25"/>
        <v>-466.09999999999974</v>
      </c>
      <c r="G50" s="183">
        <f t="shared" si="25"/>
        <v>-459.50000000000011</v>
      </c>
      <c r="H50" s="183">
        <f t="shared" si="25"/>
        <v>-359.4</v>
      </c>
      <c r="I50" s="186">
        <f t="shared" si="25"/>
        <v>-272.69999999999976</v>
      </c>
      <c r="J50" s="184">
        <f ca="1">SUM(J45:J49)</f>
        <v>-305.43744415830628</v>
      </c>
      <c r="K50" s="183">
        <f t="shared" ref="K50:Q50" ca="1" si="26">SUM(K45:K49)</f>
        <v>-347.73486605529655</v>
      </c>
      <c r="L50" s="183">
        <f t="shared" ca="1" si="26"/>
        <v>-361.82658909426749</v>
      </c>
      <c r="M50" s="183">
        <f t="shared" ca="1" si="26"/>
        <v>-358.5764024905979</v>
      </c>
      <c r="N50" s="183">
        <f t="shared" ca="1" si="26"/>
        <v>-338.38655057389991</v>
      </c>
      <c r="O50" s="183">
        <f t="shared" ca="1" si="26"/>
        <v>-301.36933767378554</v>
      </c>
      <c r="P50" s="183">
        <f t="shared" ca="1" si="26"/>
        <v>-249.59622332050816</v>
      </c>
      <c r="Q50" s="183">
        <f t="shared" ca="1" si="26"/>
        <v>-178.12986981660782</v>
      </c>
    </row>
    <row r="51" spans="3:18" s="4" customFormat="1" ht="12.75" x14ac:dyDescent="0.2">
      <c r="D51" s="6"/>
      <c r="E51" s="6"/>
      <c r="F51" s="6"/>
      <c r="G51" s="6"/>
      <c r="H51" s="6"/>
      <c r="I51" s="28"/>
      <c r="J51" s="15"/>
      <c r="K51" s="6"/>
      <c r="L51" s="6"/>
      <c r="M51" s="6"/>
      <c r="N51" s="6"/>
      <c r="O51" s="6"/>
      <c r="P51" s="6"/>
      <c r="Q51" s="6"/>
    </row>
    <row r="52" spans="3:18" s="42" customFormat="1" ht="12.75" x14ac:dyDescent="0.2">
      <c r="C52" s="43" t="s">
        <v>68</v>
      </c>
      <c r="D52" s="180">
        <f t="shared" ref="D52:I52" si="27">D50</f>
        <v>983.60000000000025</v>
      </c>
      <c r="E52" s="180">
        <f t="shared" si="27"/>
        <v>-209.99999999999989</v>
      </c>
      <c r="F52" s="180">
        <f t="shared" si="27"/>
        <v>-466.09999999999974</v>
      </c>
      <c r="G52" s="180">
        <f t="shared" si="27"/>
        <v>-459.50000000000011</v>
      </c>
      <c r="H52" s="180">
        <f t="shared" si="27"/>
        <v>-359.4</v>
      </c>
      <c r="I52" s="185">
        <f t="shared" si="27"/>
        <v>-272.69999999999976</v>
      </c>
      <c r="J52" s="181">
        <f ca="1">J50</f>
        <v>-305.43744415830628</v>
      </c>
      <c r="K52" s="180">
        <f t="shared" ref="K52:Q52" ca="1" si="28">K50</f>
        <v>-347.73486605529655</v>
      </c>
      <c r="L52" s="180">
        <f t="shared" ca="1" si="28"/>
        <v>-361.82658909426749</v>
      </c>
      <c r="M52" s="180">
        <f t="shared" ca="1" si="28"/>
        <v>-358.5764024905979</v>
      </c>
      <c r="N52" s="180">
        <f t="shared" ca="1" si="28"/>
        <v>-338.38655057389991</v>
      </c>
      <c r="O52" s="180">
        <f t="shared" ca="1" si="28"/>
        <v>-301.36933767378554</v>
      </c>
      <c r="P52" s="180">
        <f t="shared" ca="1" si="28"/>
        <v>-249.59622332050816</v>
      </c>
      <c r="Q52" s="180">
        <f t="shared" ca="1" si="28"/>
        <v>-178.12986981660782</v>
      </c>
    </row>
    <row r="53" spans="3:18" s="4" customFormat="1" ht="12.75" x14ac:dyDescent="0.2">
      <c r="D53" s="6"/>
      <c r="E53" s="6"/>
      <c r="F53" s="6"/>
      <c r="G53" s="6"/>
      <c r="H53" s="6"/>
      <c r="I53" s="28"/>
      <c r="J53" s="15"/>
      <c r="K53" s="6"/>
      <c r="L53" s="6"/>
      <c r="M53" s="6"/>
      <c r="N53" s="6"/>
      <c r="O53" s="6"/>
      <c r="P53" s="6"/>
      <c r="Q53" s="6"/>
    </row>
    <row r="54" spans="3:18" s="42" customFormat="1" ht="13.5" thickBot="1" x14ac:dyDescent="0.25">
      <c r="C54" s="41" t="s">
        <v>69</v>
      </c>
      <c r="D54" s="211">
        <f t="shared" ref="D54:Q54" si="29">D52+D42</f>
        <v>8291.2000000000007</v>
      </c>
      <c r="E54" s="211">
        <f t="shared" si="29"/>
        <v>6557.2000000000007</v>
      </c>
      <c r="F54" s="211">
        <f t="shared" si="29"/>
        <v>5540.5999999999995</v>
      </c>
      <c r="G54" s="211">
        <f t="shared" si="29"/>
        <v>5039.6000000000004</v>
      </c>
      <c r="H54" s="211">
        <f t="shared" si="29"/>
        <v>4458.6000000000004</v>
      </c>
      <c r="I54" s="190">
        <f t="shared" si="29"/>
        <v>4051.5000000000009</v>
      </c>
      <c r="J54" s="352">
        <f t="shared" ca="1" si="29"/>
        <v>3344.9549161239061</v>
      </c>
      <c r="K54" s="211">
        <f t="shared" ca="1" si="29"/>
        <v>2776.5723382315823</v>
      </c>
      <c r="L54" s="211">
        <f t="shared" ca="1" si="29"/>
        <v>2547.4720480851001</v>
      </c>
      <c r="M54" s="211">
        <f t="shared" ca="1" si="29"/>
        <v>2321.8419385721977</v>
      </c>
      <c r="N54" s="211">
        <f t="shared" ca="1" si="29"/>
        <v>2112.779236236132</v>
      </c>
      <c r="O54" s="211">
        <f t="shared" ca="1" si="29"/>
        <v>1920.1716367472923</v>
      </c>
      <c r="P54" s="211">
        <f t="shared" ca="1" si="29"/>
        <v>1735.4536169358237</v>
      </c>
      <c r="Q54" s="211">
        <f t="shared" ca="1" si="29"/>
        <v>1314.6334019325591</v>
      </c>
    </row>
    <row r="55" spans="3:18" s="4" customFormat="1" ht="13.5" thickTop="1" x14ac:dyDescent="0.2">
      <c r="I55" s="49"/>
      <c r="J55" s="354"/>
      <c r="K55" s="212"/>
      <c r="L55" s="212"/>
      <c r="M55" s="212"/>
      <c r="N55" s="212"/>
      <c r="O55" s="212"/>
      <c r="P55" s="212"/>
      <c r="Q55" s="212"/>
    </row>
    <row r="56" spans="3:18" s="4" customFormat="1" ht="12.75" outlineLevel="1" x14ac:dyDescent="0.2">
      <c r="C56" s="30" t="s">
        <v>118</v>
      </c>
      <c r="D56" s="192">
        <f t="shared" ref="D56:Q56" si="30">D54-D26</f>
        <v>0</v>
      </c>
      <c r="E56" s="192">
        <f t="shared" si="30"/>
        <v>0</v>
      </c>
      <c r="F56" s="192">
        <f t="shared" si="30"/>
        <v>0</v>
      </c>
      <c r="G56" s="192">
        <f t="shared" si="30"/>
        <v>0</v>
      </c>
      <c r="H56" s="192">
        <f t="shared" si="30"/>
        <v>0</v>
      </c>
      <c r="I56" s="193">
        <f t="shared" si="30"/>
        <v>0</v>
      </c>
      <c r="J56" s="346">
        <f t="shared" ca="1" si="30"/>
        <v>0</v>
      </c>
      <c r="K56" s="192">
        <f t="shared" ca="1" si="30"/>
        <v>0</v>
      </c>
      <c r="L56" s="192">
        <f t="shared" ca="1" si="30"/>
        <v>0</v>
      </c>
      <c r="M56" s="192">
        <f t="shared" ca="1" si="30"/>
        <v>0</v>
      </c>
      <c r="N56" s="192">
        <f t="shared" ca="1" si="30"/>
        <v>0</v>
      </c>
      <c r="O56" s="192">
        <f t="shared" ca="1" si="30"/>
        <v>0</v>
      </c>
      <c r="P56" s="192">
        <f t="shared" ca="1" si="30"/>
        <v>-2.0463630789890885E-12</v>
      </c>
      <c r="Q56" s="192">
        <f t="shared" ca="1" si="30"/>
        <v>-4.0927261579781771E-12</v>
      </c>
    </row>
    <row r="57" spans="3:18" s="4" customFormat="1" ht="12.75" outlineLevel="1" x14ac:dyDescent="0.2">
      <c r="C57" s="30" t="s">
        <v>119</v>
      </c>
      <c r="D57" s="31">
        <v>8291.2000000000007</v>
      </c>
      <c r="E57" s="31">
        <v>6557.2</v>
      </c>
      <c r="F57" s="31">
        <v>5540.6</v>
      </c>
      <c r="G57" s="31">
        <v>5039.6000000000004</v>
      </c>
      <c r="H57" s="31">
        <v>4458.6000000000004</v>
      </c>
      <c r="I57" s="32">
        <v>4051.5</v>
      </c>
      <c r="J57" s="355"/>
      <c r="K57" s="34"/>
      <c r="L57" s="34"/>
      <c r="M57" s="34"/>
      <c r="N57" s="34"/>
      <c r="O57" s="34"/>
      <c r="P57" s="34"/>
      <c r="Q57" s="34"/>
      <c r="R57" s="4" t="s">
        <v>271</v>
      </c>
    </row>
    <row r="58" spans="3:18" s="4" customFormat="1" ht="12.75" outlineLevel="1" x14ac:dyDescent="0.2">
      <c r="C58" s="30" t="s">
        <v>120</v>
      </c>
      <c r="D58" s="194">
        <f t="shared" ref="D58:I58" si="31">D54-D57</f>
        <v>0</v>
      </c>
      <c r="E58" s="194">
        <f t="shared" si="31"/>
        <v>0</v>
      </c>
      <c r="F58" s="194">
        <f t="shared" si="31"/>
        <v>0</v>
      </c>
      <c r="G58" s="194">
        <f t="shared" si="31"/>
        <v>0</v>
      </c>
      <c r="H58" s="194">
        <f t="shared" si="31"/>
        <v>0</v>
      </c>
      <c r="I58" s="195">
        <f t="shared" si="31"/>
        <v>0</v>
      </c>
      <c r="J58" s="135"/>
      <c r="K58" s="33"/>
      <c r="L58" s="33"/>
      <c r="M58" s="33"/>
      <c r="N58" s="33"/>
      <c r="O58" s="33"/>
      <c r="P58" s="33"/>
      <c r="Q58" s="33"/>
    </row>
    <row r="59" spans="3:18" ht="12.75" x14ac:dyDescent="0.2">
      <c r="C59" s="2"/>
      <c r="I59" s="13"/>
      <c r="J59" s="134"/>
      <c r="K59" s="4"/>
      <c r="L59" s="4"/>
      <c r="M59" s="4"/>
      <c r="N59" s="4"/>
      <c r="O59" s="4"/>
      <c r="P59" s="4"/>
      <c r="Q59" s="4"/>
    </row>
    <row r="60" spans="3:18" ht="12.75" x14ac:dyDescent="0.2">
      <c r="C60" s="55" t="s">
        <v>203</v>
      </c>
      <c r="D60" s="56">
        <v>2019</v>
      </c>
      <c r="E60" s="56">
        <f>D60+1</f>
        <v>2020</v>
      </c>
      <c r="F60" s="56">
        <f t="shared" ref="F60:Q60" si="32">E60+1</f>
        <v>2021</v>
      </c>
      <c r="G60" s="56">
        <f t="shared" si="32"/>
        <v>2022</v>
      </c>
      <c r="H60" s="56">
        <f t="shared" si="32"/>
        <v>2023</v>
      </c>
      <c r="I60" s="153">
        <f t="shared" si="32"/>
        <v>2024</v>
      </c>
      <c r="J60" s="136">
        <f t="shared" si="32"/>
        <v>2025</v>
      </c>
      <c r="K60" s="57">
        <f t="shared" si="32"/>
        <v>2026</v>
      </c>
      <c r="L60" s="57">
        <f t="shared" si="32"/>
        <v>2027</v>
      </c>
      <c r="M60" s="57">
        <f t="shared" si="32"/>
        <v>2028</v>
      </c>
      <c r="N60" s="57">
        <f t="shared" si="32"/>
        <v>2029</v>
      </c>
      <c r="O60" s="57">
        <f t="shared" si="32"/>
        <v>2030</v>
      </c>
      <c r="P60" s="57">
        <f t="shared" si="32"/>
        <v>2031</v>
      </c>
      <c r="Q60" s="57">
        <f t="shared" si="32"/>
        <v>2032</v>
      </c>
    </row>
    <row r="61" spans="3:18" ht="12.75" x14ac:dyDescent="0.2">
      <c r="C61" s="4" t="str">
        <f t="shared" ref="C61:I61" si="33">C30</f>
        <v>Accrued Exp.</v>
      </c>
      <c r="D61" s="179">
        <f t="shared" si="33"/>
        <v>695.5</v>
      </c>
      <c r="E61" s="179">
        <f t="shared" si="33"/>
        <v>418.3</v>
      </c>
      <c r="F61" s="179">
        <f t="shared" si="33"/>
        <v>381.3</v>
      </c>
      <c r="G61" s="179">
        <f t="shared" si="33"/>
        <v>379.2</v>
      </c>
      <c r="H61" s="179">
        <f t="shared" si="33"/>
        <v>498.6</v>
      </c>
      <c r="I61" s="213">
        <f t="shared" si="33"/>
        <v>373.8</v>
      </c>
      <c r="J61" s="156">
        <f>J62*IS!J5</f>
        <v>401.00724999999994</v>
      </c>
      <c r="K61" s="50">
        <f>K62*IS!K5</f>
        <v>348.75749999999999</v>
      </c>
      <c r="L61" s="50">
        <f>L62*IS!L5</f>
        <v>351.27545249999997</v>
      </c>
      <c r="M61" s="50">
        <f>M62*IS!M5</f>
        <v>345.12940000000003</v>
      </c>
      <c r="N61" s="50">
        <f>N62*IS!N5</f>
        <v>338.75084250000003</v>
      </c>
      <c r="O61" s="50">
        <f>O62*IS!O5</f>
        <v>332.13978000000003</v>
      </c>
      <c r="P61" s="50">
        <f>P62*IS!P5</f>
        <v>321.24015000000009</v>
      </c>
      <c r="Q61" s="50">
        <f>Q62*IS!Q5</f>
        <v>310.01858999999996</v>
      </c>
    </row>
    <row r="62" spans="3:18" ht="12.75" x14ac:dyDescent="0.2">
      <c r="C62" s="7" t="s">
        <v>202</v>
      </c>
      <c r="D62" s="214">
        <f>-D61/IS!J8</f>
        <v>1.144639322155321</v>
      </c>
      <c r="E62" s="214">
        <f>E61/IS!K5</f>
        <v>0.41979025540669374</v>
      </c>
      <c r="F62" s="214">
        <f>F61/IS!L5</f>
        <v>0.37991553081836826</v>
      </c>
      <c r="G62" s="214">
        <f>G61/IS!M5</f>
        <v>0.38455141752629585</v>
      </c>
      <c r="H62" s="214">
        <f>H61/IS!N5</f>
        <v>0.51515739034656416</v>
      </c>
      <c r="I62" s="215">
        <f>I61/IS!O5</f>
        <v>0.39390042349037496</v>
      </c>
      <c r="J62" s="356">
        <v>0.35</v>
      </c>
      <c r="K62" s="216">
        <f>J62</f>
        <v>0.35</v>
      </c>
      <c r="L62" s="216">
        <f t="shared" ref="L62:Q62" si="34">K62</f>
        <v>0.35</v>
      </c>
      <c r="M62" s="216">
        <f t="shared" si="34"/>
        <v>0.35</v>
      </c>
      <c r="N62" s="216">
        <f t="shared" si="34"/>
        <v>0.35</v>
      </c>
      <c r="O62" s="216">
        <f t="shared" si="34"/>
        <v>0.35</v>
      </c>
      <c r="P62" s="216">
        <f t="shared" si="34"/>
        <v>0.35</v>
      </c>
      <c r="Q62" s="216">
        <f t="shared" si="34"/>
        <v>0.35</v>
      </c>
    </row>
    <row r="63" spans="3:18" ht="12.75" x14ac:dyDescent="0.2">
      <c r="C63" s="2"/>
      <c r="I63" s="324"/>
      <c r="J63" s="134"/>
      <c r="K63" s="4"/>
      <c r="L63" s="4"/>
      <c r="M63" s="4"/>
      <c r="N63" s="4"/>
      <c r="O63" s="4"/>
      <c r="P63" s="4"/>
      <c r="Q63" s="4"/>
    </row>
    <row r="64" spans="3:18" ht="12.75" x14ac:dyDescent="0.2">
      <c r="C64" s="2" t="s">
        <v>553</v>
      </c>
      <c r="D64" s="179">
        <f t="shared" ref="D64:I64" si="35">D35</f>
        <v>240.1</v>
      </c>
      <c r="E64" s="179">
        <f t="shared" si="35"/>
        <v>488.2</v>
      </c>
      <c r="F64" s="179">
        <f t="shared" si="35"/>
        <v>435.5</v>
      </c>
      <c r="G64" s="179">
        <f t="shared" si="35"/>
        <v>336.5</v>
      </c>
      <c r="H64" s="179">
        <f t="shared" si="35"/>
        <v>188.9</v>
      </c>
      <c r="I64" s="213">
        <f t="shared" si="35"/>
        <v>171.3</v>
      </c>
      <c r="J64" s="156">
        <f>J65*IS!J5</f>
        <v>194.77494999999999</v>
      </c>
      <c r="K64" s="50">
        <f>K65*IS!K5</f>
        <v>169.39650000000003</v>
      </c>
      <c r="L64" s="50">
        <f>L65*IS!L5</f>
        <v>170.6195055</v>
      </c>
      <c r="M64" s="50">
        <f>M65*IS!M5</f>
        <v>167.63428000000005</v>
      </c>
      <c r="N64" s="50">
        <f>N65*IS!N5</f>
        <v>164.53612350000003</v>
      </c>
      <c r="O64" s="50">
        <f>O65*IS!O5</f>
        <v>161.32503600000004</v>
      </c>
      <c r="P64" s="50">
        <f>P65*IS!P5</f>
        <v>156.03093000000007</v>
      </c>
      <c r="Q64" s="50">
        <f>Q65*IS!Q5</f>
        <v>150.58045799999999</v>
      </c>
    </row>
    <row r="65" spans="3:17" ht="12.75" x14ac:dyDescent="0.2">
      <c r="C65" s="7" t="s">
        <v>202</v>
      </c>
      <c r="D65" s="214">
        <f>D64/IS!J5</f>
        <v>0.20955980222302714</v>
      </c>
      <c r="E65" s="214">
        <f>E64/IS!K5</f>
        <v>0.48993928445983237</v>
      </c>
      <c r="F65" s="214">
        <f>F64/IS!L5</f>
        <v>0.43391873504169781</v>
      </c>
      <c r="G65" s="214">
        <f>G64/IS!M5</f>
        <v>0.34124881855906791</v>
      </c>
      <c r="H65" s="214">
        <f>H64/IS!N5</f>
        <v>0.19517294632263532</v>
      </c>
      <c r="I65" s="215">
        <f>I64/IS!O5</f>
        <v>0.18051134976966624</v>
      </c>
      <c r="J65" s="356">
        <v>0.17</v>
      </c>
      <c r="K65" s="216">
        <f>J65</f>
        <v>0.17</v>
      </c>
      <c r="L65" s="216">
        <f t="shared" ref="L65:Q65" si="36">K65</f>
        <v>0.17</v>
      </c>
      <c r="M65" s="216">
        <f t="shared" si="36"/>
        <v>0.17</v>
      </c>
      <c r="N65" s="216">
        <f t="shared" si="36"/>
        <v>0.17</v>
      </c>
      <c r="O65" s="216">
        <f t="shared" si="36"/>
        <v>0.17</v>
      </c>
      <c r="P65" s="216">
        <f t="shared" si="36"/>
        <v>0.17</v>
      </c>
      <c r="Q65" s="216">
        <f t="shared" si="36"/>
        <v>0.17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D324F-C2EA-44F6-B118-1668644F70C5}">
  <sheetPr>
    <tabColor theme="4" tint="0.59999389629810485"/>
  </sheetPr>
  <dimension ref="C1:X59"/>
  <sheetViews>
    <sheetView showGridLines="0" zoomScaleNormal="100" workbookViewId="0"/>
  </sheetViews>
  <sheetFormatPr defaultColWidth="8.7109375" defaultRowHeight="14.25" outlineLevelRow="1" x14ac:dyDescent="0.2"/>
  <cols>
    <col min="1" max="2" width="1.5703125" style="2" customWidth="1"/>
    <col min="3" max="3" width="32.85546875" style="40" bestFit="1" customWidth="1"/>
    <col min="4" max="4" width="9" style="2" bestFit="1" customWidth="1"/>
    <col min="5" max="17" width="8.7109375" style="2" bestFit="1" customWidth="1"/>
    <col min="18" max="16384" width="8.7109375" style="2"/>
  </cols>
  <sheetData>
    <row r="1" spans="3:24" ht="12.75" x14ac:dyDescent="0.2">
      <c r="C1" s="2"/>
      <c r="D1" s="245">
        <v>2019</v>
      </c>
      <c r="E1" s="56">
        <f>D1+1</f>
        <v>2020</v>
      </c>
      <c r="F1" s="56">
        <f t="shared" ref="F1:N1" si="0">E1+1</f>
        <v>2021</v>
      </c>
      <c r="G1" s="56">
        <f t="shared" si="0"/>
        <v>2022</v>
      </c>
      <c r="H1" s="56">
        <f t="shared" si="0"/>
        <v>2023</v>
      </c>
      <c r="I1" s="153">
        <f t="shared" si="0"/>
        <v>2024</v>
      </c>
      <c r="J1" s="136">
        <f t="shared" si="0"/>
        <v>2025</v>
      </c>
      <c r="K1" s="57">
        <f t="shared" si="0"/>
        <v>2026</v>
      </c>
      <c r="L1" s="57">
        <f t="shared" si="0"/>
        <v>2027</v>
      </c>
      <c r="M1" s="57">
        <f t="shared" si="0"/>
        <v>2028</v>
      </c>
      <c r="N1" s="57">
        <f t="shared" si="0"/>
        <v>2029</v>
      </c>
      <c r="O1" s="57">
        <f>+N1+1</f>
        <v>2030</v>
      </c>
      <c r="P1" s="57">
        <f t="shared" ref="P1:Q1" si="1">+O1+1</f>
        <v>2031</v>
      </c>
      <c r="Q1" s="58">
        <f t="shared" si="1"/>
        <v>2032</v>
      </c>
      <c r="T1" s="19"/>
      <c r="U1" s="173"/>
      <c r="V1" s="174"/>
      <c r="W1" s="175"/>
      <c r="X1" s="5"/>
    </row>
    <row r="2" spans="3:24" ht="12.75" x14ac:dyDescent="0.2">
      <c r="C2" s="3" t="s">
        <v>123</v>
      </c>
      <c r="D2" s="3"/>
      <c r="E2" s="3"/>
      <c r="F2" s="3"/>
      <c r="G2" s="3"/>
      <c r="H2" s="3"/>
      <c r="I2" s="12"/>
      <c r="J2" s="106"/>
      <c r="K2" s="3"/>
      <c r="L2" s="3"/>
      <c r="M2" s="3"/>
      <c r="N2" s="3"/>
      <c r="O2" s="3"/>
      <c r="P2" s="3"/>
      <c r="Q2" s="3"/>
      <c r="W2" s="24"/>
      <c r="X2" s="18"/>
    </row>
    <row r="3" spans="3:24" ht="5.0999999999999996" customHeight="1" x14ac:dyDescent="0.2">
      <c r="C3" s="2"/>
      <c r="I3" s="13"/>
      <c r="J3" s="59"/>
    </row>
    <row r="4" spans="3:24" ht="12.75" x14ac:dyDescent="0.2">
      <c r="C4" s="1" t="s">
        <v>122</v>
      </c>
      <c r="D4" s="1"/>
      <c r="E4" s="1"/>
      <c r="F4" s="1"/>
      <c r="G4" s="1"/>
      <c r="H4" s="1"/>
      <c r="I4" s="14"/>
      <c r="J4" s="339"/>
      <c r="K4" s="1"/>
      <c r="L4" s="1"/>
      <c r="M4" s="1"/>
      <c r="N4" s="1"/>
      <c r="O4" s="1"/>
      <c r="P4" s="1"/>
      <c r="Q4" s="1"/>
    </row>
    <row r="5" spans="3:24" s="18" customFormat="1" ht="12.75" x14ac:dyDescent="0.2">
      <c r="C5" s="18" t="s">
        <v>124</v>
      </c>
      <c r="D5" s="45"/>
      <c r="E5" s="45"/>
      <c r="F5" s="45"/>
      <c r="G5" s="45"/>
      <c r="H5" s="45"/>
      <c r="I5" s="46"/>
      <c r="J5" s="351"/>
      <c r="K5" s="42"/>
      <c r="L5" s="42"/>
      <c r="M5" s="42"/>
      <c r="N5" s="42"/>
      <c r="O5" s="42"/>
      <c r="P5" s="42"/>
      <c r="Q5" s="42"/>
    </row>
    <row r="6" spans="3:24" ht="12.75" x14ac:dyDescent="0.2">
      <c r="C6" s="2" t="s">
        <v>0</v>
      </c>
      <c r="D6" s="50">
        <f>IS!D40</f>
        <v>-1694.1</v>
      </c>
      <c r="E6" s="50">
        <f>IS!E40</f>
        <v>-1221.5</v>
      </c>
      <c r="F6" s="50">
        <f>IS!F40</f>
        <v>-80.699999999999847</v>
      </c>
      <c r="G6" s="50">
        <f>IS!G40</f>
        <v>49.100000000000023</v>
      </c>
      <c r="H6" s="50">
        <f>IS!H40</f>
        <v>-109.60000000000005</v>
      </c>
      <c r="I6" s="51">
        <f>IS!I40</f>
        <v>54.60000000000008</v>
      </c>
      <c r="J6" s="156">
        <f ca="1">IS!J40</f>
        <v>79.498658993556234</v>
      </c>
      <c r="K6" s="50">
        <f ca="1">IS!K40</f>
        <v>55.010887558596821</v>
      </c>
      <c r="L6" s="50">
        <f ca="1">IS!L40</f>
        <v>68.288792720341675</v>
      </c>
      <c r="M6" s="50">
        <f ca="1">IS!M40</f>
        <v>70.702908666706662</v>
      </c>
      <c r="N6" s="50">
        <f ca="1">IS!N40</f>
        <v>72.714780283459973</v>
      </c>
      <c r="O6" s="50">
        <f ca="1">IS!O40</f>
        <v>74.61434757060168</v>
      </c>
      <c r="P6" s="50">
        <f ca="1">IS!P40</f>
        <v>74.442455327489242</v>
      </c>
      <c r="Q6" s="50">
        <f ca="1">IS!Q40</f>
        <v>79.207900781837537</v>
      </c>
      <c r="R6" s="159"/>
    </row>
    <row r="7" spans="3:24" ht="12.75" x14ac:dyDescent="0.2">
      <c r="C7" s="2" t="s">
        <v>1</v>
      </c>
      <c r="D7" s="19">
        <v>724.6</v>
      </c>
      <c r="E7" s="19">
        <v>467.1</v>
      </c>
      <c r="F7" s="19">
        <v>378.9</v>
      </c>
      <c r="G7" s="19">
        <v>425.8</v>
      </c>
      <c r="H7" s="19">
        <v>436.6</v>
      </c>
      <c r="I7" s="20">
        <v>444.2</v>
      </c>
      <c r="J7" s="156">
        <f>IS!J78</f>
        <v>354.29339350527852</v>
      </c>
      <c r="K7" s="50">
        <f>IS!K78</f>
        <v>308.13028488990454</v>
      </c>
      <c r="L7" s="50">
        <f>IS!L78</f>
        <v>310.35491782586791</v>
      </c>
      <c r="M7" s="50">
        <f>IS!M78</f>
        <v>304.92482698115981</v>
      </c>
      <c r="N7" s="50">
        <f>IS!N78</f>
        <v>299.28931594652499</v>
      </c>
      <c r="O7" s="50">
        <f>IS!O78</f>
        <v>293.44838472196363</v>
      </c>
      <c r="P7" s="50">
        <f>IS!P78</f>
        <v>283.81846680738249</v>
      </c>
      <c r="Q7" s="50">
        <f>IS!Q78</f>
        <v>273.9041209375182</v>
      </c>
      <c r="R7" s="155"/>
    </row>
    <row r="8" spans="3:24" ht="12.75" x14ac:dyDescent="0.2">
      <c r="C8" s="2" t="s">
        <v>2</v>
      </c>
      <c r="D8" s="19">
        <v>16.3</v>
      </c>
      <c r="E8" s="19">
        <v>13.1</v>
      </c>
      <c r="F8" s="19">
        <v>7.6</v>
      </c>
      <c r="G8" s="19">
        <v>6</v>
      </c>
      <c r="H8" s="19">
        <v>10.1</v>
      </c>
      <c r="I8" s="20">
        <v>11.4</v>
      </c>
      <c r="J8" s="156">
        <f>IS!J80</f>
        <v>11.765894435145167</v>
      </c>
      <c r="K8" s="50">
        <f>IS!K80</f>
        <v>9.1354774898315263</v>
      </c>
      <c r="L8" s="50">
        <f>IS!L80</f>
        <v>7.8027432798517431</v>
      </c>
      <c r="M8" s="50">
        <f>IS!M80</f>
        <v>10.870797779695749</v>
      </c>
      <c r="N8" s="50">
        <f>IS!N80</f>
        <v>10.706372288206472</v>
      </c>
      <c r="O8" s="50">
        <f>IS!O80</f>
        <v>10.151356075329621</v>
      </c>
      <c r="P8" s="50">
        <f>IS!P80</f>
        <v>7.4221956556099729</v>
      </c>
      <c r="Q8" s="50">
        <f>IS!Q80</f>
        <v>6.3696526741779103</v>
      </c>
      <c r="R8" s="155"/>
    </row>
    <row r="9" spans="3:24" ht="12.75" x14ac:dyDescent="0.2">
      <c r="C9" s="2" t="s">
        <v>3</v>
      </c>
      <c r="D9" s="19">
        <v>0</v>
      </c>
      <c r="E9" s="19">
        <v>250</v>
      </c>
      <c r="F9" s="19">
        <v>114.2</v>
      </c>
      <c r="G9" s="19">
        <v>496.4</v>
      </c>
      <c r="H9" s="19">
        <v>426.1</v>
      </c>
      <c r="I9" s="20">
        <v>200.8</v>
      </c>
      <c r="J9" s="156">
        <f>IS!J84</f>
        <v>249.94560358976352</v>
      </c>
      <c r="K9" s="50">
        <f>IS!K84</f>
        <v>241.95128572860278</v>
      </c>
      <c r="L9" s="50">
        <f>IS!L84</f>
        <v>221.53132281938045</v>
      </c>
      <c r="M9" s="50">
        <f>IS!M84</f>
        <v>345.97079794028588</v>
      </c>
      <c r="N9" s="50">
        <f>IS!N84</f>
        <v>294.08417235895797</v>
      </c>
      <c r="O9" s="50">
        <f>IS!O84</f>
        <v>255.56449861048407</v>
      </c>
      <c r="P9" s="50">
        <f>IS!P84</f>
        <v>197.58081391929775</v>
      </c>
      <c r="Q9" s="50">
        <f>IS!Q84</f>
        <v>175.8062474103013</v>
      </c>
      <c r="R9" s="155"/>
    </row>
    <row r="10" spans="3:24" ht="12.75" x14ac:dyDescent="0.2">
      <c r="C10" s="21" t="s">
        <v>4</v>
      </c>
      <c r="D10" s="183">
        <f t="shared" ref="D10:J10" si="2">SUM(D7:D9)</f>
        <v>740.9</v>
      </c>
      <c r="E10" s="183">
        <f t="shared" si="2"/>
        <v>730.2</v>
      </c>
      <c r="F10" s="183">
        <f t="shared" si="2"/>
        <v>500.7</v>
      </c>
      <c r="G10" s="183">
        <f t="shared" si="2"/>
        <v>928.2</v>
      </c>
      <c r="H10" s="183">
        <f t="shared" si="2"/>
        <v>872.80000000000007</v>
      </c>
      <c r="I10" s="186">
        <f t="shared" si="2"/>
        <v>656.4</v>
      </c>
      <c r="J10" s="184">
        <f t="shared" si="2"/>
        <v>616.00489153018725</v>
      </c>
      <c r="K10" s="183">
        <f t="shared" ref="K10:Q10" si="3">SUM(K7:K9)</f>
        <v>559.21704810833887</v>
      </c>
      <c r="L10" s="183">
        <f t="shared" si="3"/>
        <v>539.68898392510016</v>
      </c>
      <c r="M10" s="183">
        <f t="shared" si="3"/>
        <v>661.76642270114144</v>
      </c>
      <c r="N10" s="183">
        <f t="shared" si="3"/>
        <v>604.07986059368943</v>
      </c>
      <c r="O10" s="183">
        <f t="shared" si="3"/>
        <v>559.16423940777736</v>
      </c>
      <c r="P10" s="183">
        <f t="shared" si="3"/>
        <v>488.82147638229026</v>
      </c>
      <c r="Q10" s="183">
        <f t="shared" si="3"/>
        <v>456.08002102199742</v>
      </c>
      <c r="R10" s="155"/>
    </row>
    <row r="11" spans="3:24" ht="12.75" x14ac:dyDescent="0.2">
      <c r="C11" s="2"/>
      <c r="D11" s="19"/>
      <c r="E11" s="19"/>
      <c r="F11" s="19"/>
      <c r="G11" s="19"/>
      <c r="H11" s="19"/>
      <c r="I11" s="20"/>
      <c r="J11" s="15"/>
      <c r="K11" s="6"/>
      <c r="L11" s="6"/>
      <c r="M11" s="6"/>
      <c r="N11" s="6"/>
      <c r="O11" s="6"/>
      <c r="P11" s="6"/>
      <c r="Q11" s="6"/>
    </row>
    <row r="12" spans="3:24" ht="12.75" x14ac:dyDescent="0.2">
      <c r="C12" s="2" t="s">
        <v>5</v>
      </c>
      <c r="D12" s="19">
        <v>-6.6</v>
      </c>
      <c r="E12" s="19">
        <v>3.4</v>
      </c>
      <c r="F12" s="19">
        <v>-120.3</v>
      </c>
      <c r="G12" s="19">
        <v>-3.1</v>
      </c>
      <c r="H12" s="19">
        <v>-0.2</v>
      </c>
      <c r="I12" s="20">
        <v>0</v>
      </c>
      <c r="J12" s="156">
        <f>-IS!J30</f>
        <v>-142.43333333333334</v>
      </c>
      <c r="K12" s="50">
        <f>-IS!K30</f>
        <v>-3.63333333333334</v>
      </c>
      <c r="L12" s="50">
        <f>-IS!L30</f>
        <v>0</v>
      </c>
      <c r="M12" s="50">
        <f>-IS!M30</f>
        <v>-0.72666666666666746</v>
      </c>
      <c r="N12" s="50">
        <f>-IS!N30</f>
        <v>-0.72666666666666746</v>
      </c>
      <c r="O12" s="50">
        <f>-IS!O30</f>
        <v>-0.72666666666666746</v>
      </c>
      <c r="P12" s="50">
        <f>-IS!P30</f>
        <v>-0.72666666666666746</v>
      </c>
      <c r="Q12" s="50">
        <f>-IS!Q30</f>
        <v>-0.72666666666666746</v>
      </c>
      <c r="R12" s="155"/>
    </row>
    <row r="13" spans="3:24" ht="12.75" x14ac:dyDescent="0.2">
      <c r="C13" s="2" t="s">
        <v>554</v>
      </c>
      <c r="D13" s="19">
        <v>2013.8</v>
      </c>
      <c r="E13" s="19">
        <v>1021.7</v>
      </c>
      <c r="F13" s="19">
        <v>49.2</v>
      </c>
      <c r="G13" s="19">
        <v>0.1</v>
      </c>
      <c r="H13" s="19">
        <v>9</v>
      </c>
      <c r="I13" s="20">
        <v>-38.9</v>
      </c>
      <c r="J13" s="15"/>
      <c r="K13" s="6"/>
      <c r="L13" s="6"/>
      <c r="M13" s="6"/>
      <c r="N13" s="6"/>
      <c r="O13" s="6"/>
      <c r="P13" s="6"/>
      <c r="Q13" s="6"/>
    </row>
    <row r="14" spans="3:24" ht="12.75" x14ac:dyDescent="0.2">
      <c r="C14" s="2" t="s">
        <v>6</v>
      </c>
      <c r="D14" s="19">
        <v>24.8</v>
      </c>
      <c r="E14" s="19">
        <v>20.9</v>
      </c>
      <c r="F14" s="19">
        <v>11.6</v>
      </c>
      <c r="G14" s="19">
        <v>5.8</v>
      </c>
      <c r="H14" s="19">
        <v>6</v>
      </c>
      <c r="I14" s="20">
        <v>6.9</v>
      </c>
      <c r="J14" s="182">
        <v>0</v>
      </c>
      <c r="K14" s="19">
        <v>0</v>
      </c>
      <c r="L14" s="19">
        <v>0</v>
      </c>
      <c r="M14" s="19">
        <v>0</v>
      </c>
      <c r="N14" s="19">
        <v>0</v>
      </c>
      <c r="O14" s="19">
        <v>0</v>
      </c>
      <c r="P14" s="19">
        <v>0</v>
      </c>
      <c r="Q14" s="19">
        <v>0</v>
      </c>
    </row>
    <row r="15" spans="3:24" ht="12.75" x14ac:dyDescent="0.2">
      <c r="C15" s="2" t="s">
        <v>7</v>
      </c>
      <c r="D15" s="19">
        <v>0</v>
      </c>
      <c r="E15" s="19">
        <v>0</v>
      </c>
      <c r="F15" s="19">
        <v>0</v>
      </c>
      <c r="G15" s="19">
        <v>0</v>
      </c>
      <c r="H15" s="19">
        <v>0</v>
      </c>
      <c r="I15" s="20">
        <v>0</v>
      </c>
      <c r="J15" s="182">
        <v>0</v>
      </c>
      <c r="K15" s="179">
        <f>J15</f>
        <v>0</v>
      </c>
      <c r="L15" s="179">
        <f t="shared" ref="L15:Q15" si="4">K15</f>
        <v>0</v>
      </c>
      <c r="M15" s="179">
        <f t="shared" si="4"/>
        <v>0</v>
      </c>
      <c r="N15" s="179">
        <f t="shared" si="4"/>
        <v>0</v>
      </c>
      <c r="O15" s="179">
        <f t="shared" si="4"/>
        <v>0</v>
      </c>
      <c r="P15" s="179">
        <f t="shared" si="4"/>
        <v>0</v>
      </c>
      <c r="Q15" s="179">
        <f t="shared" si="4"/>
        <v>0</v>
      </c>
    </row>
    <row r="16" spans="3:24" ht="12.75" x14ac:dyDescent="0.2">
      <c r="C16" s="2" t="s">
        <v>8</v>
      </c>
      <c r="D16" s="19">
        <v>126.6</v>
      </c>
      <c r="E16" s="19">
        <v>25.5</v>
      </c>
      <c r="F16" s="19">
        <v>478.7</v>
      </c>
      <c r="G16" s="19">
        <v>50.4</v>
      </c>
      <c r="H16" s="19">
        <v>9.1999999999999993</v>
      </c>
      <c r="I16" s="20">
        <v>54</v>
      </c>
      <c r="J16" s="156">
        <f>+BS!J35-BS!I35</f>
        <v>23.474949999999978</v>
      </c>
      <c r="K16" s="50">
        <f>+BS!K35-BS!J35</f>
        <v>-25.378449999999958</v>
      </c>
      <c r="L16" s="50">
        <f>+BS!L35-BS!K35</f>
        <v>1.2230054999999709</v>
      </c>
      <c r="M16" s="50">
        <f>+BS!M35-BS!L35</f>
        <v>-2.9852254999999559</v>
      </c>
      <c r="N16" s="50">
        <f>+BS!N35-BS!M35</f>
        <v>-3.098156500000016</v>
      </c>
      <c r="O16" s="50">
        <f>+BS!O35-BS!N35</f>
        <v>-3.2110874999999908</v>
      </c>
      <c r="P16" s="50">
        <f>+BS!P35-BS!O35</f>
        <v>-5.2941059999999709</v>
      </c>
      <c r="Q16" s="50">
        <f>+BS!Q35-BS!P35</f>
        <v>-5.4504720000000759</v>
      </c>
      <c r="R16" s="155"/>
    </row>
    <row r="17" spans="3:19" ht="12.75" x14ac:dyDescent="0.2">
      <c r="C17" s="2" t="s">
        <v>9</v>
      </c>
      <c r="D17" s="19">
        <v>241.4</v>
      </c>
      <c r="E17" s="19">
        <v>195.2</v>
      </c>
      <c r="F17" s="19">
        <v>-17.899999999999999</v>
      </c>
      <c r="G17" s="19">
        <v>288.39999999999998</v>
      </c>
      <c r="H17" s="19">
        <v>-36.299999999999997</v>
      </c>
      <c r="I17" s="20">
        <v>0.7</v>
      </c>
      <c r="J17" s="156">
        <f>BS!I11-BS!J11</f>
        <v>-55.481365113319157</v>
      </c>
      <c r="K17" s="50">
        <f>BS!J11-BS!K11</f>
        <v>82.645670064143815</v>
      </c>
      <c r="L17" s="50">
        <f>BS!K11-BS!L11</f>
        <v>2.1217491027769029</v>
      </c>
      <c r="M17" s="50">
        <f>BS!L11-BS!M11</f>
        <v>13.551513072826253</v>
      </c>
      <c r="N17" s="50">
        <f>BS!M11-BS!N11</f>
        <v>13.660043536192404</v>
      </c>
      <c r="O17" s="50">
        <f>BS!N11-BS!O11</f>
        <v>13.757653999558556</v>
      </c>
      <c r="P17" s="50">
        <f>BS!O11-BS!P11</f>
        <v>18.967790733185211</v>
      </c>
      <c r="Q17" s="50">
        <f>BS!P11-BS!Q11</f>
        <v>19.028119067076886</v>
      </c>
    </row>
    <row r="18" spans="3:19" ht="12.75" x14ac:dyDescent="0.2">
      <c r="C18" s="2" t="s">
        <v>10</v>
      </c>
      <c r="D18" s="19">
        <v>-56.6</v>
      </c>
      <c r="E18" s="19">
        <v>85.1</v>
      </c>
      <c r="F18" s="19">
        <v>-41.9</v>
      </c>
      <c r="G18" s="19">
        <v>-48</v>
      </c>
      <c r="H18" s="19">
        <v>66.599999999999994</v>
      </c>
      <c r="I18" s="20">
        <v>-25.1</v>
      </c>
      <c r="J18" s="156">
        <f>BS!I13-BS!J13</f>
        <v>23.823339945546095</v>
      </c>
      <c r="K18" s="50">
        <f>BS!J13-BS!K13</f>
        <v>14.147134107126988</v>
      </c>
      <c r="L18" s="50">
        <f>BS!K13-BS!L13</f>
        <v>-0.68176042359772282</v>
      </c>
      <c r="M18" s="50">
        <f>BS!L13-BS!M13</f>
        <v>1.6641042100094552</v>
      </c>
      <c r="N18" s="50">
        <f>BS!M13-BS!N13</f>
        <v>1.7270572273076965</v>
      </c>
      <c r="O18" s="50">
        <f>BS!N13-BS!O13</f>
        <v>1.7900102446059236</v>
      </c>
      <c r="P18" s="50">
        <f>BS!O13-BS!P13</f>
        <v>2.9511821076285543</v>
      </c>
      <c r="Q18" s="50">
        <f>BS!P13-BS!Q13</f>
        <v>3.0383478238876478</v>
      </c>
    </row>
    <row r="19" spans="3:19" ht="12.75" x14ac:dyDescent="0.2">
      <c r="C19" s="2" t="s">
        <v>272</v>
      </c>
      <c r="D19" s="19"/>
      <c r="E19" s="19"/>
      <c r="F19" s="19"/>
      <c r="G19" s="19"/>
      <c r="H19" s="19"/>
      <c r="I19" s="20"/>
      <c r="J19" s="156">
        <f>+BS!I14-BS!J14</f>
        <v>-14.403395010485376</v>
      </c>
      <c r="K19" s="50">
        <f>+BS!J14-BS!K14</f>
        <v>4.1047749472088277</v>
      </c>
      <c r="L19" s="50">
        <f>+BS!K14-BS!L14</f>
        <v>-0.19781201518211589</v>
      </c>
      <c r="M19" s="50">
        <f>+BS!L14-BS!M14</f>
        <v>0.48283795283671083</v>
      </c>
      <c r="N19" s="50">
        <f>+BS!M14-BS!N14</f>
        <v>0.50110369954557044</v>
      </c>
      <c r="O19" s="50">
        <f>+BS!N14-BS!O14</f>
        <v>0.51936944625441583</v>
      </c>
      <c r="P19" s="50">
        <f>+BS!O14-BS!P14</f>
        <v>0.85628214791162804</v>
      </c>
      <c r="Q19" s="50">
        <f>+BS!P14-BS!Q14</f>
        <v>0.88157318181620425</v>
      </c>
      <c r="S19" s="6"/>
    </row>
    <row r="20" spans="3:19" ht="12.75" x14ac:dyDescent="0.2">
      <c r="C20" s="2" t="s">
        <v>11</v>
      </c>
      <c r="D20" s="19">
        <v>-131.5</v>
      </c>
      <c r="E20" s="19">
        <v>-161.9</v>
      </c>
      <c r="F20" s="19">
        <v>7.5</v>
      </c>
      <c r="G20" s="19">
        <v>-193.1</v>
      </c>
      <c r="H20" s="19">
        <v>58.7</v>
      </c>
      <c r="I20" s="20">
        <v>49.9</v>
      </c>
      <c r="J20" s="156">
        <f>BS!J29-BS!I29</f>
        <v>-29.439183788823343</v>
      </c>
      <c r="K20" s="50">
        <f>BS!K29-BS!J29</f>
        <v>-6.0276119242979433</v>
      </c>
      <c r="L20" s="50">
        <f>BS!L29-BS!K29</f>
        <v>0.29047489248877412</v>
      </c>
      <c r="M20" s="50">
        <f>BS!M29-BS!L29</f>
        <v>-0.70901811657204661</v>
      </c>
      <c r="N20" s="50">
        <f>BS!N29-BS!M29</f>
        <v>-0.73584025276331744</v>
      </c>
      <c r="O20" s="50">
        <f>BS!O29-BS!N29</f>
        <v>-0.76266238895456695</v>
      </c>
      <c r="P20" s="50">
        <f>BS!P29-BS!O29</f>
        <v>-1.2573981647459647</v>
      </c>
      <c r="Q20" s="50">
        <f>BS!Q29-BS!P29</f>
        <v>-1.2945365071646435</v>
      </c>
    </row>
    <row r="21" spans="3:19" ht="12.75" x14ac:dyDescent="0.2">
      <c r="C21" s="2" t="s">
        <v>12</v>
      </c>
      <c r="D21" s="19">
        <v>0</v>
      </c>
      <c r="E21" s="19">
        <v>0</v>
      </c>
      <c r="F21" s="19">
        <v>0</v>
      </c>
      <c r="G21" s="19">
        <v>0</v>
      </c>
      <c r="H21" s="19">
        <v>0</v>
      </c>
      <c r="I21" s="20">
        <v>0</v>
      </c>
      <c r="J21" s="156">
        <f>BS!I15-BS!J15</f>
        <v>-63.635897763309671</v>
      </c>
      <c r="K21" s="50">
        <f>BS!J15-BS!K15</f>
        <v>11.509838224018367</v>
      </c>
      <c r="L21" s="50">
        <f>BS!K15-BS!L15</f>
        <v>-0.5546672650254294</v>
      </c>
      <c r="M21" s="50">
        <f>BS!L15-BS!M15</f>
        <v>1.3538834155440469</v>
      </c>
      <c r="N21" s="50">
        <f>BS!M15-BS!N15</f>
        <v>1.405100788570266</v>
      </c>
      <c r="O21" s="50">
        <f>BS!N15-BS!O15</f>
        <v>1.4563181615964567</v>
      </c>
      <c r="P21" s="50">
        <f>BS!O15-BS!P15</f>
        <v>2.4010254212059721</v>
      </c>
      <c r="Q21" s="50">
        <f>BS!P15-BS!Q15</f>
        <v>2.4719417838576589</v>
      </c>
    </row>
    <row r="22" spans="3:19" ht="12.75" x14ac:dyDescent="0.2">
      <c r="C22" s="2" t="s">
        <v>273</v>
      </c>
      <c r="D22" s="19">
        <v>0</v>
      </c>
      <c r="E22" s="19">
        <v>0</v>
      </c>
      <c r="F22" s="19">
        <v>0</v>
      </c>
      <c r="G22" s="19">
        <v>0</v>
      </c>
      <c r="H22" s="19">
        <v>0</v>
      </c>
      <c r="I22" s="20">
        <v>0</v>
      </c>
      <c r="J22" s="156">
        <f>+BS!J30-BS!I30</f>
        <v>27.207249999999931</v>
      </c>
      <c r="K22" s="50">
        <f>+BS!K30-BS!J30</f>
        <v>-52.249749999999949</v>
      </c>
      <c r="L22" s="50">
        <f>+BS!L30-BS!K30</f>
        <v>2.5179524999999785</v>
      </c>
      <c r="M22" s="50">
        <f>+BS!M30-BS!L30</f>
        <v>-6.1460524999999393</v>
      </c>
      <c r="N22" s="50">
        <f>+BS!N30-BS!M30</f>
        <v>-6.3785574999999994</v>
      </c>
      <c r="O22" s="50">
        <f>+BS!O30-BS!N30</f>
        <v>-6.6110625000000027</v>
      </c>
      <c r="P22" s="50">
        <f>+BS!P30-BS!O30</f>
        <v>-10.899629999999945</v>
      </c>
      <c r="Q22" s="50">
        <f>+BS!Q30-BS!P30</f>
        <v>-11.221560000000125</v>
      </c>
    </row>
    <row r="23" spans="3:19" ht="12.75" x14ac:dyDescent="0.2">
      <c r="C23" s="21" t="s">
        <v>125</v>
      </c>
      <c r="D23" s="183">
        <f t="shared" ref="D23:Q23" si="5">SUM(D12:D22)+D10+D6</f>
        <v>1258.7000000000003</v>
      </c>
      <c r="E23" s="183">
        <f t="shared" si="5"/>
        <v>698.60000000000014</v>
      </c>
      <c r="F23" s="183">
        <f t="shared" si="5"/>
        <v>786.9000000000002</v>
      </c>
      <c r="G23" s="183">
        <f t="shared" si="5"/>
        <v>1077.8000000000002</v>
      </c>
      <c r="H23" s="183">
        <f t="shared" si="5"/>
        <v>876.2</v>
      </c>
      <c r="I23" s="186">
        <f t="shared" si="5"/>
        <v>758.5</v>
      </c>
      <c r="J23" s="184">
        <f ca="1">SUM(J12:J22)+J10+J6</f>
        <v>464.61591546001853</v>
      </c>
      <c r="K23" s="183">
        <f t="shared" ca="1" si="5"/>
        <v>639.34620775180247</v>
      </c>
      <c r="L23" s="183">
        <f t="shared" ca="1" si="5"/>
        <v>612.69671893690224</v>
      </c>
      <c r="M23" s="183">
        <f t="shared" ca="1" si="5"/>
        <v>738.95470723582594</v>
      </c>
      <c r="N23" s="183">
        <f t="shared" ca="1" si="5"/>
        <v>683.14872520933534</v>
      </c>
      <c r="O23" s="183">
        <f t="shared" ca="1" si="5"/>
        <v>639.99045977477317</v>
      </c>
      <c r="P23" s="183">
        <f t="shared" ca="1" si="5"/>
        <v>570.26241128829827</v>
      </c>
      <c r="Q23" s="183">
        <f t="shared" ca="1" si="5"/>
        <v>542.01466848664188</v>
      </c>
    </row>
    <row r="24" spans="3:19" ht="12.75" x14ac:dyDescent="0.2">
      <c r="C24" s="2"/>
      <c r="D24" s="6"/>
      <c r="E24" s="6"/>
      <c r="F24" s="6"/>
      <c r="G24" s="6"/>
      <c r="H24" s="6"/>
      <c r="I24" s="28"/>
      <c r="J24" s="15"/>
      <c r="K24" s="6"/>
      <c r="L24" s="6"/>
      <c r="M24" s="6"/>
      <c r="N24" s="6"/>
      <c r="O24" s="6"/>
      <c r="P24" s="6"/>
      <c r="Q24" s="6"/>
    </row>
    <row r="25" spans="3:19" s="18" customFormat="1" ht="12.75" x14ac:dyDescent="0.2">
      <c r="C25" s="18" t="s">
        <v>129</v>
      </c>
      <c r="D25" s="45"/>
      <c r="E25" s="45"/>
      <c r="F25" s="45"/>
      <c r="G25" s="45"/>
      <c r="H25" s="45"/>
      <c r="I25" s="46"/>
      <c r="J25" s="351"/>
      <c r="K25" s="42"/>
      <c r="L25" s="42"/>
      <c r="M25" s="42"/>
      <c r="N25" s="42"/>
      <c r="O25" s="42"/>
      <c r="P25" s="42"/>
      <c r="Q25" s="42"/>
    </row>
    <row r="26" spans="3:19" ht="12.75" x14ac:dyDescent="0.2">
      <c r="C26" s="2" t="s">
        <v>13</v>
      </c>
      <c r="D26" s="19">
        <v>-261.5</v>
      </c>
      <c r="E26" s="19">
        <v>-217.3</v>
      </c>
      <c r="F26" s="19">
        <v>-150.4</v>
      </c>
      <c r="G26" s="19">
        <v>-263.8</v>
      </c>
      <c r="H26" s="19">
        <v>-262.3</v>
      </c>
      <c r="I26" s="20">
        <v>-196.7</v>
      </c>
      <c r="J26" s="156">
        <f>-IS!J68</f>
        <v>-170.84460360209027</v>
      </c>
      <c r="K26" s="50">
        <f>-IS!K68</f>
        <v>-153.5664385421174</v>
      </c>
      <c r="L26" s="50">
        <f>-IS!L68</f>
        <v>-159.69337522752588</v>
      </c>
      <c r="M26" s="50">
        <f>-IS!M68</f>
        <v>-161.82973756973789</v>
      </c>
      <c r="N26" s="50">
        <f>-IS!N68</f>
        <v>-163.67815628625513</v>
      </c>
      <c r="O26" s="50">
        <f>-IS!O68</f>
        <v>-165.22866687707764</v>
      </c>
      <c r="P26" s="50">
        <f>-IS!P68</f>
        <v>-164.39560278681634</v>
      </c>
      <c r="Q26" s="50">
        <f>-IS!Q68</f>
        <v>-163.08177306097761</v>
      </c>
    </row>
    <row r="27" spans="3:19" ht="12.75" x14ac:dyDescent="0.2">
      <c r="C27" s="2" t="s">
        <v>14</v>
      </c>
      <c r="D27" s="19">
        <v>7</v>
      </c>
      <c r="E27" s="19">
        <v>513.4</v>
      </c>
      <c r="F27" s="19">
        <v>132.80000000000001</v>
      </c>
      <c r="G27" s="19">
        <v>68.099999999999994</v>
      </c>
      <c r="H27" s="19">
        <v>0.7</v>
      </c>
      <c r="I27" s="20">
        <v>0</v>
      </c>
      <c r="J27" s="182">
        <v>0</v>
      </c>
      <c r="K27" s="19">
        <v>0</v>
      </c>
      <c r="L27" s="19">
        <v>0</v>
      </c>
      <c r="M27" s="19">
        <v>0</v>
      </c>
      <c r="N27" s="19">
        <v>0</v>
      </c>
      <c r="O27" s="19">
        <v>0</v>
      </c>
      <c r="P27" s="19">
        <v>0</v>
      </c>
      <c r="Q27" s="19">
        <v>0</v>
      </c>
    </row>
    <row r="28" spans="3:19" ht="12.75" x14ac:dyDescent="0.2">
      <c r="C28" s="2" t="s">
        <v>15</v>
      </c>
      <c r="D28" s="19">
        <v>0</v>
      </c>
      <c r="E28" s="19">
        <v>0</v>
      </c>
      <c r="F28" s="19">
        <v>0</v>
      </c>
      <c r="G28" s="19">
        <v>-126.8</v>
      </c>
      <c r="H28" s="19">
        <v>0</v>
      </c>
      <c r="I28" s="20">
        <v>-8.1</v>
      </c>
      <c r="J28" s="182">
        <v>0</v>
      </c>
      <c r="K28" s="19">
        <v>0</v>
      </c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</row>
    <row r="29" spans="3:19" ht="12.75" x14ac:dyDescent="0.2">
      <c r="C29" s="2" t="s">
        <v>16</v>
      </c>
      <c r="D29" s="19">
        <v>0</v>
      </c>
      <c r="E29" s="19">
        <v>0</v>
      </c>
      <c r="F29" s="19">
        <v>0</v>
      </c>
      <c r="G29" s="19">
        <v>0</v>
      </c>
      <c r="H29" s="19">
        <v>0</v>
      </c>
      <c r="I29" s="20">
        <v>0</v>
      </c>
      <c r="J29" s="156">
        <f>+'Forecast Assumptions'!D88</f>
        <v>347</v>
      </c>
      <c r="K29" s="50">
        <f>+'Forecast Assumptions'!E88</f>
        <v>40</v>
      </c>
      <c r="L29" s="50">
        <f>+'Forecast Assumptions'!F88</f>
        <v>0</v>
      </c>
      <c r="M29" s="50">
        <f>+'Forecast Assumptions'!G88</f>
        <v>8</v>
      </c>
      <c r="N29" s="50">
        <f>+'Forecast Assumptions'!H88</f>
        <v>8</v>
      </c>
      <c r="O29" s="50">
        <f>+'Forecast Assumptions'!I88</f>
        <v>8</v>
      </c>
      <c r="P29" s="50">
        <f>+'Forecast Assumptions'!J88</f>
        <v>8</v>
      </c>
      <c r="Q29" s="50">
        <f>+'Forecast Assumptions'!K88</f>
        <v>8</v>
      </c>
    </row>
    <row r="30" spans="3:19" ht="12.75" x14ac:dyDescent="0.2">
      <c r="C30" s="2" t="s">
        <v>17</v>
      </c>
      <c r="D30" s="19">
        <v>-259.39999999999998</v>
      </c>
      <c r="E30" s="19">
        <v>-213.6</v>
      </c>
      <c r="F30" s="19">
        <v>-86.1</v>
      </c>
      <c r="G30" s="19">
        <v>-42.6</v>
      </c>
      <c r="H30" s="19">
        <v>-30.2</v>
      </c>
      <c r="I30" s="20">
        <v>-27.8</v>
      </c>
      <c r="J30" s="182">
        <v>0</v>
      </c>
      <c r="K30" s="19">
        <v>0</v>
      </c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</row>
    <row r="31" spans="3:19" ht="12.75" x14ac:dyDescent="0.2">
      <c r="C31" s="2" t="s">
        <v>18</v>
      </c>
      <c r="D31" s="19">
        <v>0</v>
      </c>
      <c r="E31" s="19">
        <v>0</v>
      </c>
      <c r="F31" s="19">
        <v>0</v>
      </c>
      <c r="G31" s="19">
        <v>0</v>
      </c>
      <c r="H31" s="19">
        <v>0</v>
      </c>
      <c r="I31" s="20">
        <v>0</v>
      </c>
      <c r="J31" s="182">
        <v>0</v>
      </c>
      <c r="K31" s="19">
        <v>0</v>
      </c>
      <c r="L31" s="19">
        <v>0</v>
      </c>
      <c r="M31" s="19">
        <v>0</v>
      </c>
      <c r="N31" s="19">
        <v>0</v>
      </c>
      <c r="O31" s="19">
        <v>0</v>
      </c>
      <c r="P31" s="19">
        <v>0</v>
      </c>
      <c r="Q31" s="19">
        <v>0</v>
      </c>
    </row>
    <row r="32" spans="3:19" ht="12.75" x14ac:dyDescent="0.2">
      <c r="C32" s="2" t="s">
        <v>19</v>
      </c>
      <c r="D32" s="19">
        <v>0</v>
      </c>
      <c r="E32" s="19">
        <v>0</v>
      </c>
      <c r="F32" s="19">
        <v>0</v>
      </c>
      <c r="G32" s="19">
        <v>0</v>
      </c>
      <c r="H32" s="19">
        <v>0</v>
      </c>
      <c r="I32" s="20">
        <v>0</v>
      </c>
      <c r="J32" s="182">
        <v>0</v>
      </c>
      <c r="K32" s="19">
        <v>0</v>
      </c>
      <c r="L32" s="19">
        <v>0</v>
      </c>
      <c r="M32" s="19">
        <v>0</v>
      </c>
      <c r="N32" s="19">
        <v>0</v>
      </c>
      <c r="O32" s="19">
        <v>0</v>
      </c>
      <c r="P32" s="19">
        <v>0</v>
      </c>
      <c r="Q32" s="19">
        <v>0</v>
      </c>
    </row>
    <row r="33" spans="3:17" ht="12.75" x14ac:dyDescent="0.2">
      <c r="C33" s="2" t="s">
        <v>20</v>
      </c>
      <c r="D33" s="19">
        <v>1.9</v>
      </c>
      <c r="E33" s="19">
        <v>1.8</v>
      </c>
      <c r="F33" s="19">
        <v>2</v>
      </c>
      <c r="G33" s="19">
        <v>8.9</v>
      </c>
      <c r="H33" s="19">
        <v>23.3</v>
      </c>
      <c r="I33" s="20">
        <v>19.5</v>
      </c>
      <c r="J33" s="15"/>
      <c r="K33" s="6"/>
      <c r="L33" s="6"/>
      <c r="M33" s="6"/>
      <c r="N33" s="6"/>
      <c r="O33" s="6"/>
      <c r="P33" s="6"/>
      <c r="Q33" s="6"/>
    </row>
    <row r="34" spans="3:17" ht="12.75" x14ac:dyDescent="0.2">
      <c r="C34" s="21" t="s">
        <v>126</v>
      </c>
      <c r="D34" s="183">
        <f t="shared" ref="D34:Q34" si="6">SUM(D26:D33)</f>
        <v>-512</v>
      </c>
      <c r="E34" s="183">
        <f t="shared" si="6"/>
        <v>84.299999999999969</v>
      </c>
      <c r="F34" s="183">
        <f t="shared" si="6"/>
        <v>-101.69999999999999</v>
      </c>
      <c r="G34" s="183">
        <f t="shared" si="6"/>
        <v>-356.20000000000005</v>
      </c>
      <c r="H34" s="183">
        <f t="shared" si="6"/>
        <v>-268.5</v>
      </c>
      <c r="I34" s="186">
        <f t="shared" si="6"/>
        <v>-213.1</v>
      </c>
      <c r="J34" s="184">
        <f t="shared" si="6"/>
        <v>176.15539639790973</v>
      </c>
      <c r="K34" s="183">
        <f t="shared" si="6"/>
        <v>-113.5664385421174</v>
      </c>
      <c r="L34" s="183">
        <f t="shared" si="6"/>
        <v>-159.69337522752588</v>
      </c>
      <c r="M34" s="183">
        <f t="shared" si="6"/>
        <v>-153.82973756973789</v>
      </c>
      <c r="N34" s="183">
        <f t="shared" si="6"/>
        <v>-155.67815628625513</v>
      </c>
      <c r="O34" s="183">
        <f t="shared" si="6"/>
        <v>-157.22866687707764</v>
      </c>
      <c r="P34" s="183">
        <f t="shared" si="6"/>
        <v>-156.39560278681634</v>
      </c>
      <c r="Q34" s="183">
        <f t="shared" si="6"/>
        <v>-155.08177306097761</v>
      </c>
    </row>
    <row r="35" spans="3:17" ht="12.75" x14ac:dyDescent="0.2">
      <c r="C35" s="2"/>
      <c r="D35" s="6"/>
      <c r="E35" s="6"/>
      <c r="F35" s="6"/>
      <c r="G35" s="6"/>
      <c r="H35" s="6"/>
      <c r="I35" s="28"/>
      <c r="J35" s="15"/>
      <c r="K35" s="6"/>
      <c r="L35" s="6"/>
      <c r="M35" s="6"/>
      <c r="N35" s="6"/>
      <c r="O35" s="6"/>
      <c r="P35" s="6"/>
      <c r="Q35" s="6"/>
    </row>
    <row r="36" spans="3:17" s="18" customFormat="1" ht="12.75" x14ac:dyDescent="0.2">
      <c r="C36" s="18" t="s">
        <v>130</v>
      </c>
      <c r="D36" s="45"/>
      <c r="E36" s="45"/>
      <c r="F36" s="45"/>
      <c r="G36" s="45"/>
      <c r="H36" s="45"/>
      <c r="I36" s="46"/>
      <c r="J36" s="351"/>
      <c r="K36" s="42"/>
      <c r="L36" s="42"/>
      <c r="M36" s="42"/>
      <c r="N36" s="42"/>
      <c r="O36" s="42"/>
      <c r="P36" s="42"/>
      <c r="Q36" s="42"/>
    </row>
    <row r="37" spans="3:17" ht="12.75" x14ac:dyDescent="0.2">
      <c r="C37" s="2" t="s">
        <v>327</v>
      </c>
      <c r="D37" s="19">
        <v>-317.10000000000002</v>
      </c>
      <c r="E37" s="19">
        <v>-73.199999999999989</v>
      </c>
      <c r="F37" s="19">
        <v>-735.80000000000018</v>
      </c>
      <c r="G37" s="19">
        <v>-303.8</v>
      </c>
      <c r="H37" s="19">
        <v>-497.50000000000006</v>
      </c>
      <c r="I37" s="20">
        <v>-269</v>
      </c>
      <c r="J37" s="156">
        <f ca="1">BS!J32-BS!I32+BS!J38-BS!I38</f>
        <v>-603.65065592896428</v>
      </c>
      <c r="K37" s="50">
        <f ca="1">BS!K32-BS!J32+BS!K38-BS!J38</f>
        <v>-351.02934407103578</v>
      </c>
      <c r="L37" s="50">
        <f ca="1">BS!L32-BS!K32+BS!L38-BS!K38</f>
        <v>-127.63999999999999</v>
      </c>
      <c r="M37" s="50">
        <f ca="1">BS!M32-BS!L32+BS!M38-BS!L38</f>
        <v>-127.63999999999999</v>
      </c>
      <c r="N37" s="50">
        <f ca="1">BS!N32-BS!M32+BS!N38-BS!M38</f>
        <v>-127.63999999999999</v>
      </c>
      <c r="O37" s="50">
        <f ca="1">BS!O32-BS!N32+BS!O38-BS!N38</f>
        <v>-127.63999999999999</v>
      </c>
      <c r="P37" s="50">
        <f ca="1">BS!P32-BS!O32+BS!P38-BS!O38</f>
        <v>-127.64000000000001</v>
      </c>
      <c r="Q37" s="50">
        <f ca="1">BS!Q32-BS!P32+BS!Q38-BS!P38</f>
        <v>-382.92000000000007</v>
      </c>
    </row>
    <row r="38" spans="3:17" ht="12.75" x14ac:dyDescent="0.2">
      <c r="C38" s="4" t="s">
        <v>53</v>
      </c>
      <c r="D38" s="19">
        <v>0</v>
      </c>
      <c r="E38" s="50">
        <f>BS!E31-BS!D31</f>
        <v>0</v>
      </c>
      <c r="F38" s="50">
        <f>BS!F31-BS!E31</f>
        <v>0</v>
      </c>
      <c r="G38" s="50">
        <f>BS!G31-BS!F31</f>
        <v>0</v>
      </c>
      <c r="H38" s="50">
        <f>BS!H31-BS!G31</f>
        <v>0</v>
      </c>
      <c r="I38" s="51">
        <f>BS!I31-BS!H31</f>
        <v>0</v>
      </c>
      <c r="J38" s="156">
        <f ca="1">BS!J31-BS!I31</f>
        <v>0</v>
      </c>
      <c r="K38" s="50">
        <f ca="1">BS!K31-BS!J31</f>
        <v>0</v>
      </c>
      <c r="L38" s="50">
        <f>BS!L31-BS!K31</f>
        <v>0</v>
      </c>
      <c r="M38" s="50">
        <f>BS!M31-BS!L31</f>
        <v>0</v>
      </c>
      <c r="N38" s="50">
        <f>BS!N31-BS!M31</f>
        <v>0</v>
      </c>
      <c r="O38" s="50">
        <f>BS!O31-BS!N31</f>
        <v>0</v>
      </c>
      <c r="P38" s="50">
        <f>BS!P31-BS!O31</f>
        <v>0</v>
      </c>
      <c r="Q38" s="50">
        <f>BS!Q31-BS!P31</f>
        <v>0</v>
      </c>
    </row>
    <row r="39" spans="3:17" ht="12.75" x14ac:dyDescent="0.2">
      <c r="C39" s="2" t="s">
        <v>21</v>
      </c>
      <c r="D39" s="19">
        <v>-100.9</v>
      </c>
      <c r="E39" s="19">
        <v>0</v>
      </c>
      <c r="F39" s="19">
        <v>0</v>
      </c>
      <c r="G39" s="19">
        <v>0</v>
      </c>
      <c r="H39" s="19">
        <v>0</v>
      </c>
      <c r="I39" s="20">
        <v>0</v>
      </c>
      <c r="J39" s="178">
        <f>I39</f>
        <v>0</v>
      </c>
      <c r="K39" s="179">
        <f t="shared" ref="K39:Q39" si="7">J39</f>
        <v>0</v>
      </c>
      <c r="L39" s="179">
        <f t="shared" si="7"/>
        <v>0</v>
      </c>
      <c r="M39" s="179">
        <f t="shared" si="7"/>
        <v>0</v>
      </c>
      <c r="N39" s="179">
        <f t="shared" si="7"/>
        <v>0</v>
      </c>
      <c r="O39" s="179">
        <f t="shared" si="7"/>
        <v>0</v>
      </c>
      <c r="P39" s="179">
        <f t="shared" si="7"/>
        <v>0</v>
      </c>
      <c r="Q39" s="179">
        <f t="shared" si="7"/>
        <v>0</v>
      </c>
    </row>
    <row r="40" spans="3:17" ht="12.75" x14ac:dyDescent="0.2">
      <c r="C40" s="2" t="s">
        <v>22</v>
      </c>
      <c r="D40" s="19">
        <v>0</v>
      </c>
      <c r="E40" s="19">
        <v>0</v>
      </c>
      <c r="F40" s="19">
        <v>0</v>
      </c>
      <c r="G40" s="19">
        <v>0</v>
      </c>
      <c r="H40" s="19">
        <v>0</v>
      </c>
      <c r="I40" s="20">
        <v>0</v>
      </c>
      <c r="J40" s="178">
        <f>I40</f>
        <v>0</v>
      </c>
      <c r="K40" s="179">
        <f t="shared" ref="K40:Q40" si="8">J40</f>
        <v>0</v>
      </c>
      <c r="L40" s="179">
        <f t="shared" si="8"/>
        <v>0</v>
      </c>
      <c r="M40" s="179">
        <f t="shared" si="8"/>
        <v>0</v>
      </c>
      <c r="N40" s="179">
        <f t="shared" si="8"/>
        <v>0</v>
      </c>
      <c r="O40" s="179">
        <f t="shared" si="8"/>
        <v>0</v>
      </c>
      <c r="P40" s="179">
        <f t="shared" si="8"/>
        <v>0</v>
      </c>
      <c r="Q40" s="179">
        <f t="shared" si="8"/>
        <v>0</v>
      </c>
    </row>
    <row r="41" spans="3:17" ht="12.75" x14ac:dyDescent="0.2">
      <c r="C41" s="2" t="s">
        <v>23</v>
      </c>
      <c r="D41" s="19">
        <v>-215.4</v>
      </c>
      <c r="E41" s="19">
        <v>-198.5</v>
      </c>
      <c r="F41" s="19">
        <v>-291.5</v>
      </c>
      <c r="G41" s="19">
        <v>-249</v>
      </c>
      <c r="H41" s="19">
        <v>-245</v>
      </c>
      <c r="I41" s="53">
        <v>-223.2</v>
      </c>
      <c r="J41" s="156">
        <f>'Debt Schedule'!J71-'Debt Schedule'!I71+'Debt Schedule'!J59-'Debt Schedule'!I59-'Debt Schedule'!J77</f>
        <v>-203.63610315186247</v>
      </c>
      <c r="K41" s="50">
        <f>'Debt Schedule'!K71-'Debt Schedule'!J71+'Debt Schedule'!K59-'Debt Schedule'!J59-'Debt Schedule'!K77</f>
        <v>-188.7083094555874</v>
      </c>
      <c r="L41" s="50">
        <f>'Debt Schedule'!L71-'Debt Schedule'!K71+'Debt Schedule'!L59-'Debt Schedule'!K59-'Debt Schedule'!L77</f>
        <v>-173.78051575931232</v>
      </c>
      <c r="M41" s="50">
        <f>'Debt Schedule'!M71-'Debt Schedule'!L71+'Debt Schedule'!M59-'Debt Schedule'!L59-'Debt Schedule'!M77</f>
        <v>-158.85272206303725</v>
      </c>
      <c r="N41" s="50">
        <f>'Debt Schedule'!N71-'Debt Schedule'!M71+'Debt Schedule'!N59-'Debt Schedule'!M59-'Debt Schedule'!N77</f>
        <v>-143.92492836676217</v>
      </c>
      <c r="O41" s="50">
        <f>'Debt Schedule'!O71-'Debt Schedule'!N71+'Debt Schedule'!O59-'Debt Schedule'!N59-'Debt Schedule'!O77</f>
        <v>-128.9971346704871</v>
      </c>
      <c r="P41" s="50">
        <f>'Debt Schedule'!P71-'Debt Schedule'!O71+'Debt Schedule'!P59-'Debt Schedule'!O59-'Debt Schedule'!P77</f>
        <v>-114.06934097421204</v>
      </c>
      <c r="Q41" s="50">
        <f>'Debt Schedule'!Q71-'Debt Schedule'!P71+'Debt Schedule'!Q59-'Debt Schedule'!P59-'Debt Schedule'!Q77</f>
        <v>-99.141547277936965</v>
      </c>
    </row>
    <row r="42" spans="3:17" ht="12.75" x14ac:dyDescent="0.2">
      <c r="C42" s="21" t="s">
        <v>127</v>
      </c>
      <c r="D42" s="183">
        <f t="shared" ref="D42:Q42" si="9">D37+D39+D41+D38</f>
        <v>-633.4</v>
      </c>
      <c r="E42" s="183">
        <f t="shared" si="9"/>
        <v>-271.7</v>
      </c>
      <c r="F42" s="183">
        <f t="shared" si="9"/>
        <v>-1027.3000000000002</v>
      </c>
      <c r="G42" s="183">
        <f t="shared" si="9"/>
        <v>-552.79999999999995</v>
      </c>
      <c r="H42" s="183">
        <f t="shared" si="9"/>
        <v>-742.5</v>
      </c>
      <c r="I42" s="186">
        <f t="shared" si="9"/>
        <v>-492.2</v>
      </c>
      <c r="J42" s="184">
        <f t="shared" ca="1" si="9"/>
        <v>-807.28675908082676</v>
      </c>
      <c r="K42" s="183">
        <f t="shared" ca="1" si="9"/>
        <v>-539.73765352662315</v>
      </c>
      <c r="L42" s="183">
        <f t="shared" ca="1" si="9"/>
        <v>-301.42051575931231</v>
      </c>
      <c r="M42" s="183">
        <f t="shared" ca="1" si="9"/>
        <v>-286.49272206303726</v>
      </c>
      <c r="N42" s="183">
        <f t="shared" ca="1" si="9"/>
        <v>-271.56492836676216</v>
      </c>
      <c r="O42" s="183">
        <f t="shared" ca="1" si="9"/>
        <v>-256.63713467048706</v>
      </c>
      <c r="P42" s="183">
        <f t="shared" ca="1" si="9"/>
        <v>-241.70934097421207</v>
      </c>
      <c r="Q42" s="183">
        <f t="shared" ca="1" si="9"/>
        <v>-482.06154727793705</v>
      </c>
    </row>
    <row r="43" spans="3:17" ht="12.75" x14ac:dyDescent="0.2">
      <c r="C43" s="2"/>
      <c r="D43" s="6"/>
      <c r="E43" s="6"/>
      <c r="F43" s="6"/>
      <c r="G43" s="6"/>
      <c r="H43" s="6"/>
      <c r="I43" s="28"/>
      <c r="J43" s="15"/>
      <c r="K43" s="6"/>
      <c r="L43" s="6"/>
      <c r="M43" s="6"/>
      <c r="N43" s="6"/>
      <c r="O43" s="6"/>
      <c r="P43" s="6"/>
      <c r="Q43" s="6"/>
    </row>
    <row r="44" spans="3:17" ht="12.75" x14ac:dyDescent="0.2">
      <c r="C44" s="2" t="s">
        <v>24</v>
      </c>
      <c r="D44" s="19">
        <v>-4.3</v>
      </c>
      <c r="E44" s="19">
        <v>5.4</v>
      </c>
      <c r="F44" s="19">
        <v>5.8</v>
      </c>
      <c r="G44" s="19">
        <v>-1.6</v>
      </c>
      <c r="H44" s="19">
        <v>-2.5</v>
      </c>
      <c r="I44" s="53">
        <v>2.9</v>
      </c>
      <c r="J44" s="182">
        <v>0</v>
      </c>
      <c r="K44" s="179">
        <f>J44</f>
        <v>0</v>
      </c>
      <c r="L44" s="179">
        <f t="shared" ref="L44:Q44" si="10">K44</f>
        <v>0</v>
      </c>
      <c r="M44" s="179">
        <f t="shared" si="10"/>
        <v>0</v>
      </c>
      <c r="N44" s="179">
        <f t="shared" si="10"/>
        <v>0</v>
      </c>
      <c r="O44" s="179">
        <f t="shared" si="10"/>
        <v>0</v>
      </c>
      <c r="P44" s="179">
        <f t="shared" si="10"/>
        <v>0</v>
      </c>
      <c r="Q44" s="179">
        <f t="shared" si="10"/>
        <v>0</v>
      </c>
    </row>
    <row r="45" spans="3:17" ht="13.5" thickBot="1" x14ac:dyDescent="0.25">
      <c r="C45" s="52" t="s">
        <v>128</v>
      </c>
      <c r="D45" s="211">
        <f t="shared" ref="D45:Q45" si="11">D23+D34+D42+D44</f>
        <v>109.0000000000003</v>
      </c>
      <c r="E45" s="211">
        <f t="shared" si="11"/>
        <v>516.60000000000014</v>
      </c>
      <c r="F45" s="211">
        <f t="shared" si="11"/>
        <v>-336.2999999999999</v>
      </c>
      <c r="G45" s="211">
        <f t="shared" si="11"/>
        <v>167.20000000000019</v>
      </c>
      <c r="H45" s="211">
        <f t="shared" si="11"/>
        <v>-137.29999999999995</v>
      </c>
      <c r="I45" s="190">
        <f t="shared" si="11"/>
        <v>56.099999999999987</v>
      </c>
      <c r="J45" s="352">
        <f t="shared" ca="1" si="11"/>
        <v>-166.5154472228985</v>
      </c>
      <c r="K45" s="211">
        <f t="shared" ca="1" si="11"/>
        <v>-13.957884316938021</v>
      </c>
      <c r="L45" s="211">
        <f t="shared" ca="1" si="11"/>
        <v>151.58282795006409</v>
      </c>
      <c r="M45" s="211">
        <f t="shared" ca="1" si="11"/>
        <v>298.63224760305081</v>
      </c>
      <c r="N45" s="211">
        <f t="shared" ca="1" si="11"/>
        <v>255.90564055631808</v>
      </c>
      <c r="O45" s="211">
        <f t="shared" ca="1" si="11"/>
        <v>226.12465822720844</v>
      </c>
      <c r="P45" s="211">
        <f t="shared" ca="1" si="11"/>
        <v>172.15746752726989</v>
      </c>
      <c r="Q45" s="211">
        <f t="shared" ca="1" si="11"/>
        <v>-95.12865185227281</v>
      </c>
    </row>
    <row r="46" spans="3:17" ht="13.5" thickTop="1" x14ac:dyDescent="0.2">
      <c r="C46" s="18"/>
      <c r="D46" s="47"/>
      <c r="E46" s="47"/>
      <c r="F46" s="47"/>
      <c r="G46" s="47"/>
      <c r="H46" s="47"/>
      <c r="I46" s="48"/>
      <c r="J46" s="353"/>
      <c r="K46" s="47"/>
      <c r="L46" s="47"/>
      <c r="M46" s="47"/>
      <c r="N46" s="47"/>
      <c r="O46" s="47"/>
      <c r="P46" s="47"/>
      <c r="Q46" s="47"/>
    </row>
    <row r="47" spans="3:17" x14ac:dyDescent="0.2">
      <c r="I47" s="13"/>
      <c r="J47" s="353"/>
      <c r="K47" s="47"/>
      <c r="L47" s="47"/>
      <c r="M47" s="47"/>
      <c r="N47" s="47"/>
      <c r="O47" s="47"/>
      <c r="P47" s="47"/>
      <c r="Q47" s="47"/>
    </row>
    <row r="48" spans="3:17" ht="12.75" outlineLevel="1" x14ac:dyDescent="0.2">
      <c r="C48" s="35" t="s">
        <v>131</v>
      </c>
      <c r="D48" s="31">
        <v>109</v>
      </c>
      <c r="E48" s="31">
        <v>516.6</v>
      </c>
      <c r="F48" s="31">
        <v>-336.3</v>
      </c>
      <c r="G48" s="31">
        <v>167.2</v>
      </c>
      <c r="H48" s="31">
        <v>-137.30000000000001</v>
      </c>
      <c r="I48" s="32">
        <v>56.1</v>
      </c>
      <c r="J48" s="357"/>
      <c r="K48" s="54"/>
      <c r="L48" s="54"/>
      <c r="M48" s="54"/>
      <c r="N48" s="54"/>
      <c r="O48" s="54"/>
      <c r="P48" s="54"/>
      <c r="Q48" s="54"/>
    </row>
    <row r="49" spans="3:17" ht="12.75" outlineLevel="1" x14ac:dyDescent="0.2">
      <c r="C49" s="35" t="s">
        <v>101</v>
      </c>
      <c r="D49" s="194">
        <f t="shared" ref="D49:I49" si="12">D45-D48</f>
        <v>2.9842794901924208E-13</v>
      </c>
      <c r="E49" s="192">
        <f t="shared" si="12"/>
        <v>0</v>
      </c>
      <c r="F49" s="192">
        <f t="shared" si="12"/>
        <v>0</v>
      </c>
      <c r="G49" s="192">
        <f t="shared" si="12"/>
        <v>0</v>
      </c>
      <c r="H49" s="192">
        <f t="shared" si="12"/>
        <v>0</v>
      </c>
      <c r="I49" s="193">
        <f t="shared" si="12"/>
        <v>0</v>
      </c>
      <c r="J49" s="355"/>
      <c r="K49" s="34"/>
      <c r="L49" s="34"/>
      <c r="M49" s="34"/>
      <c r="N49" s="34"/>
      <c r="O49" s="34"/>
      <c r="P49" s="34"/>
      <c r="Q49" s="34"/>
    </row>
    <row r="50" spans="3:17" s="18" customFormat="1" ht="12.75" x14ac:dyDescent="0.2">
      <c r="C50" s="18" t="s">
        <v>300</v>
      </c>
      <c r="D50" s="47"/>
      <c r="E50" s="47"/>
      <c r="F50" s="47"/>
      <c r="G50" s="47"/>
      <c r="H50" s="47"/>
      <c r="I50" s="48"/>
      <c r="J50" s="353"/>
      <c r="K50" s="47"/>
      <c r="L50" s="47"/>
      <c r="M50" s="47"/>
      <c r="N50" s="47"/>
      <c r="O50" s="47"/>
      <c r="P50" s="47"/>
      <c r="Q50" s="47"/>
    </row>
    <row r="51" spans="3:17" ht="12.75" x14ac:dyDescent="0.2">
      <c r="C51" s="2" t="s">
        <v>25</v>
      </c>
      <c r="D51" s="19">
        <v>215.4</v>
      </c>
      <c r="E51" s="19">
        <v>198.5</v>
      </c>
      <c r="F51" s="19">
        <v>234.9</v>
      </c>
      <c r="G51" s="19">
        <v>249</v>
      </c>
      <c r="H51" s="19">
        <v>240</v>
      </c>
      <c r="I51" s="20">
        <v>223.2</v>
      </c>
      <c r="J51" s="15"/>
      <c r="K51" s="6"/>
      <c r="L51" s="6"/>
      <c r="M51" s="6"/>
      <c r="N51" s="6"/>
      <c r="O51" s="6"/>
      <c r="P51" s="6"/>
      <c r="Q51" s="6"/>
    </row>
    <row r="52" spans="3:17" ht="12.75" x14ac:dyDescent="0.2">
      <c r="C52" s="2" t="s">
        <v>26</v>
      </c>
      <c r="D52" s="19">
        <v>91</v>
      </c>
      <c r="E52" s="19">
        <v>107.5</v>
      </c>
      <c r="F52" s="19">
        <v>56.1</v>
      </c>
      <c r="G52" s="19">
        <v>229.3</v>
      </c>
      <c r="H52" s="19">
        <v>274.5</v>
      </c>
      <c r="I52" s="20">
        <v>360.3</v>
      </c>
      <c r="J52" s="15"/>
      <c r="K52" s="6"/>
      <c r="L52" s="6"/>
      <c r="M52" s="6"/>
      <c r="N52" s="6"/>
      <c r="O52" s="6"/>
      <c r="P52" s="6"/>
      <c r="Q52" s="6"/>
    </row>
    <row r="53" spans="3:17" ht="12.75" x14ac:dyDescent="0.2">
      <c r="C53" s="2" t="s">
        <v>27</v>
      </c>
      <c r="D53" s="19">
        <v>1383.3875</v>
      </c>
      <c r="E53" s="19">
        <v>213.11250000000001</v>
      </c>
      <c r="F53" s="19">
        <v>500.4375</v>
      </c>
      <c r="G53" s="19">
        <v>908.13750000000005</v>
      </c>
      <c r="H53" s="19">
        <v>817.97500000000002</v>
      </c>
      <c r="I53" s="20">
        <v>543.0625</v>
      </c>
      <c r="J53" s="156">
        <f ca="1">IS!J18*(1-IS!J37)+CFS!J7+CFS!J26-NWC!J17-IS!J23</f>
        <v>338.70714993138472</v>
      </c>
      <c r="K53" s="50">
        <f ca="1">IS!K18*(1-IS!K37)+CFS!K7+CFS!K26-NWC!K17-IS!K23</f>
        <v>405.9681691675496</v>
      </c>
      <c r="L53" s="50">
        <f ca="1">IS!L18*(1-IS!L37)+CFS!L7+CFS!L26-NWC!L17-IS!L23</f>
        <v>290.61859511014427</v>
      </c>
      <c r="M53" s="50">
        <f ca="1">IS!M18*(1-IS!M37)+CFS!M7+CFS!M26-NWC!M17-IS!M23</f>
        <v>278.47658711277296</v>
      </c>
      <c r="N53" s="50">
        <f ca="1">IS!N18*(1-IS!N37)+CFS!N7+CFS!N26-NWC!N17-IS!N23</f>
        <v>255.24890644258249</v>
      </c>
      <c r="O53" s="50">
        <f ca="1">IS!O18*(1-IS!O37)+CFS!O7+CFS!O26-NWC!O17-IS!O23</f>
        <v>231.99048937854852</v>
      </c>
      <c r="P53" s="50">
        <f ca="1">IS!P18*(1-IS!P37)+CFS!P7+CFS!P26-NWC!P17-IS!P23</f>
        <v>210.24008159324089</v>
      </c>
      <c r="Q53" s="50">
        <f ca="1">IS!Q18*(1-IS!Q37)+CFS!Q7+CFS!Q26-NWC!Q17-IS!Q23</f>
        <v>170.74153600785181</v>
      </c>
    </row>
    <row r="54" spans="3:17" ht="12.75" x14ac:dyDescent="0.2">
      <c r="C54" s="2" t="s">
        <v>28</v>
      </c>
      <c r="D54" s="19">
        <v>1574.2</v>
      </c>
      <c r="E54" s="19">
        <v>400.86250000000001</v>
      </c>
      <c r="F54" s="19">
        <v>706.3125</v>
      </c>
      <c r="G54" s="19">
        <v>1113.8875</v>
      </c>
      <c r="H54" s="19">
        <v>1016.475</v>
      </c>
      <c r="I54" s="20">
        <v>750.0625</v>
      </c>
      <c r="J54" s="156">
        <f>IS!J18*(1-IS!J37)+CFS!J7+CFS!J26-NWC!J17</f>
        <v>181.93470335166228</v>
      </c>
      <c r="K54" s="50">
        <f>IS!K18*(1-IS!K37)+CFS!K7+CFS!K26-NWC!K17</f>
        <v>324.47504562004025</v>
      </c>
      <c r="L54" s="50">
        <f>IS!L18*(1-IS!L37)+CFS!L7+CFS!L26-NWC!L17</f>
        <v>242.98859511014425</v>
      </c>
      <c r="M54" s="50">
        <f>IS!M18*(1-IS!M37)+CFS!M7+CFS!M26-NWC!M17</f>
        <v>243.61058711277295</v>
      </c>
      <c r="N54" s="50">
        <f>IS!N18*(1-IS!N37)+CFS!N7+CFS!N26-NWC!N17</f>
        <v>233.14690644258249</v>
      </c>
      <c r="O54" s="50">
        <f>IS!O18*(1-IS!O37)+CFS!O7+CFS!O26-NWC!O17</f>
        <v>222.65248937854849</v>
      </c>
      <c r="P54" s="50">
        <f>IS!P18*(1-IS!P37)+CFS!P7+CFS!P26-NWC!P17</f>
        <v>213.66608159324088</v>
      </c>
      <c r="Q54" s="50">
        <f>IS!Q18*(1-IS!Q37)+CFS!Q7+CFS!Q26-NWC!Q17</f>
        <v>199.69553600785181</v>
      </c>
    </row>
    <row r="55" spans="3:17" ht="12.75" x14ac:dyDescent="0.2">
      <c r="C55" s="2" t="s">
        <v>29</v>
      </c>
      <c r="D55" s="19">
        <v>-964.4</v>
      </c>
      <c r="E55" s="19">
        <v>92.5</v>
      </c>
      <c r="F55" s="19">
        <v>-137.69999999999999</v>
      </c>
      <c r="G55" s="19">
        <v>-145.1</v>
      </c>
      <c r="H55" s="19">
        <v>19.7</v>
      </c>
      <c r="I55" s="20">
        <v>31.8</v>
      </c>
      <c r="J55" s="156">
        <f>NWC!J17</f>
        <v>115.66155173039147</v>
      </c>
      <c r="K55" s="50">
        <f>NWC!K17</f>
        <v>-81.001355418200035</v>
      </c>
      <c r="L55" s="50">
        <f>NWC!L17</f>
        <v>-2.200989791460529</v>
      </c>
      <c r="M55" s="50">
        <f>NWC!M17</f>
        <v>-13.35809503464435</v>
      </c>
      <c r="N55" s="50">
        <f>NWC!N17</f>
        <v>-13.459308498852636</v>
      </c>
      <c r="O55" s="50">
        <f>NWC!O17</f>
        <v>-13.549601963060809</v>
      </c>
      <c r="P55" s="50">
        <f>NWC!P17</f>
        <v>-18.624776245185501</v>
      </c>
      <c r="Q55" s="50">
        <f>NWC!Q17</f>
        <v>-18.674973349473703</v>
      </c>
    </row>
    <row r="56" spans="3:17" ht="12.75" x14ac:dyDescent="0.2">
      <c r="C56" s="2" t="s">
        <v>30</v>
      </c>
      <c r="D56" s="19">
        <v>-317.10000000000002</v>
      </c>
      <c r="E56" s="19">
        <v>-73.2</v>
      </c>
      <c r="F56" s="19">
        <v>-735.8</v>
      </c>
      <c r="G56" s="19">
        <v>-303.8</v>
      </c>
      <c r="H56" s="19">
        <v>-497.5</v>
      </c>
      <c r="I56" s="20">
        <v>-269</v>
      </c>
      <c r="J56" s="15"/>
      <c r="K56" s="6"/>
      <c r="L56" s="6"/>
      <c r="M56" s="6"/>
      <c r="N56" s="6"/>
      <c r="O56" s="6"/>
      <c r="P56" s="6"/>
      <c r="Q56" s="6"/>
    </row>
    <row r="57" spans="3:17" ht="12.75" x14ac:dyDescent="0.2">
      <c r="C57" s="2" t="s">
        <v>31</v>
      </c>
      <c r="D57" s="217">
        <v>44285</v>
      </c>
      <c r="E57" s="217">
        <v>44644</v>
      </c>
      <c r="F57" s="217">
        <v>45008</v>
      </c>
      <c r="G57" s="217">
        <v>45372</v>
      </c>
      <c r="H57" s="217">
        <v>45761</v>
      </c>
      <c r="I57" s="218">
        <v>45761</v>
      </c>
      <c r="J57" s="15"/>
      <c r="K57" s="6"/>
      <c r="L57" s="6"/>
      <c r="M57" s="6"/>
      <c r="N57" s="6"/>
      <c r="O57" s="6"/>
      <c r="P57" s="6"/>
      <c r="Q57" s="6"/>
    </row>
    <row r="58" spans="3:17" ht="12.75" x14ac:dyDescent="0.2">
      <c r="C58" s="2" t="s">
        <v>32</v>
      </c>
      <c r="D58" s="6" t="s">
        <v>34</v>
      </c>
      <c r="E58" s="6" t="s">
        <v>34</v>
      </c>
      <c r="F58" s="6" t="s">
        <v>34</v>
      </c>
      <c r="G58" s="6" t="s">
        <v>34</v>
      </c>
      <c r="H58" s="6" t="s">
        <v>34</v>
      </c>
      <c r="I58" s="28" t="s">
        <v>33</v>
      </c>
      <c r="J58" s="15"/>
      <c r="K58" s="6"/>
      <c r="L58" s="6"/>
      <c r="M58" s="6"/>
      <c r="N58" s="6"/>
      <c r="O58" s="6"/>
      <c r="P58" s="6"/>
      <c r="Q58" s="6"/>
    </row>
    <row r="59" spans="3:17" ht="12.75" x14ac:dyDescent="0.2">
      <c r="C59" s="2" t="s">
        <v>35</v>
      </c>
      <c r="D59" s="6" t="s">
        <v>36</v>
      </c>
      <c r="E59" s="6" t="s">
        <v>36</v>
      </c>
      <c r="F59" s="6" t="s">
        <v>36</v>
      </c>
      <c r="G59" s="6" t="s">
        <v>36</v>
      </c>
      <c r="H59" s="6" t="s">
        <v>36</v>
      </c>
      <c r="I59" s="28" t="s">
        <v>36</v>
      </c>
      <c r="J59" s="15"/>
      <c r="K59" s="6"/>
      <c r="L59" s="6"/>
      <c r="M59" s="6"/>
      <c r="N59" s="6"/>
      <c r="O59" s="6"/>
      <c r="P59" s="6"/>
      <c r="Q59" s="6"/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8E796-7D8A-401B-9251-B866D8F21BF2}">
  <sheetPr>
    <tabColor theme="4" tint="0.59999389629810485"/>
  </sheetPr>
  <dimension ref="C1:X35"/>
  <sheetViews>
    <sheetView showGridLines="0" zoomScaleNormal="100" workbookViewId="0"/>
  </sheetViews>
  <sheetFormatPr defaultColWidth="8.7109375" defaultRowHeight="14.25" x14ac:dyDescent="0.2"/>
  <cols>
    <col min="1" max="2" width="1.5703125" style="2" customWidth="1"/>
    <col min="3" max="3" width="32.85546875" style="40" bestFit="1" customWidth="1"/>
    <col min="4" max="4" width="9" style="2" bestFit="1" customWidth="1"/>
    <col min="5" max="17" width="8.7109375" style="2" bestFit="1" customWidth="1"/>
    <col min="18" max="16384" width="8.7109375" style="2"/>
  </cols>
  <sheetData>
    <row r="1" spans="3:24" ht="12.75" x14ac:dyDescent="0.2">
      <c r="C1" s="2"/>
      <c r="D1" s="9">
        <v>2019</v>
      </c>
      <c r="E1" s="10">
        <f>D1+1</f>
        <v>2020</v>
      </c>
      <c r="F1" s="10">
        <f t="shared" ref="F1:N1" si="0">E1+1</f>
        <v>2021</v>
      </c>
      <c r="G1" s="10">
        <f t="shared" si="0"/>
        <v>2022</v>
      </c>
      <c r="H1" s="10">
        <f t="shared" si="0"/>
        <v>2023</v>
      </c>
      <c r="I1" s="10">
        <f t="shared" si="0"/>
        <v>2024</v>
      </c>
      <c r="J1" s="338">
        <f t="shared" si="0"/>
        <v>2025</v>
      </c>
      <c r="K1" s="23">
        <f t="shared" si="0"/>
        <v>2026</v>
      </c>
      <c r="L1" s="23">
        <f t="shared" si="0"/>
        <v>2027</v>
      </c>
      <c r="M1" s="23">
        <f t="shared" si="0"/>
        <v>2028</v>
      </c>
      <c r="N1" s="23">
        <f t="shared" si="0"/>
        <v>2029</v>
      </c>
      <c r="O1" s="23">
        <f>+N1+1</f>
        <v>2030</v>
      </c>
      <c r="P1" s="23">
        <f t="shared" ref="P1:Q1" si="1">+O1+1</f>
        <v>2031</v>
      </c>
      <c r="Q1" s="23">
        <f t="shared" si="1"/>
        <v>2032</v>
      </c>
      <c r="T1" s="19"/>
      <c r="U1" s="173"/>
      <c r="V1" s="174"/>
      <c r="W1" s="175"/>
      <c r="X1" s="5"/>
    </row>
    <row r="2" spans="3:24" ht="12.75" x14ac:dyDescent="0.2">
      <c r="C2" s="3" t="s">
        <v>134</v>
      </c>
      <c r="D2" s="3"/>
      <c r="E2" s="3"/>
      <c r="F2" s="3"/>
      <c r="G2" s="3"/>
      <c r="H2" s="3"/>
      <c r="I2" s="3"/>
      <c r="J2" s="106"/>
      <c r="K2" s="3"/>
      <c r="L2" s="3"/>
      <c r="M2" s="3"/>
      <c r="N2" s="3"/>
      <c r="O2" s="3"/>
      <c r="P2" s="3"/>
      <c r="Q2" s="3"/>
      <c r="W2" s="24"/>
      <c r="X2" s="18"/>
    </row>
    <row r="3" spans="3:24" ht="5.0999999999999996" customHeight="1" x14ac:dyDescent="0.2">
      <c r="C3" s="2"/>
      <c r="J3" s="59"/>
    </row>
    <row r="4" spans="3:24" ht="12.75" x14ac:dyDescent="0.2">
      <c r="C4" s="1" t="s">
        <v>132</v>
      </c>
      <c r="D4" s="1"/>
      <c r="E4" s="1"/>
      <c r="F4" s="1"/>
      <c r="G4" s="1"/>
      <c r="H4" s="1"/>
      <c r="I4" s="1"/>
      <c r="J4" s="339"/>
      <c r="K4" s="1"/>
      <c r="L4" s="1"/>
      <c r="M4" s="1"/>
      <c r="N4" s="1"/>
      <c r="O4" s="1"/>
      <c r="P4" s="1"/>
      <c r="Q4" s="1"/>
    </row>
    <row r="5" spans="3:24" s="18" customFormat="1" ht="12.75" x14ac:dyDescent="0.2">
      <c r="C5" s="18" t="s">
        <v>133</v>
      </c>
      <c r="D5" s="45"/>
      <c r="E5" s="45"/>
      <c r="F5" s="45"/>
      <c r="G5" s="45"/>
      <c r="H5" s="45"/>
      <c r="I5" s="45"/>
      <c r="J5" s="351"/>
      <c r="K5" s="42"/>
      <c r="L5" s="42"/>
      <c r="M5" s="42"/>
      <c r="N5" s="42"/>
      <c r="O5" s="42"/>
      <c r="P5" s="42"/>
      <c r="Q5" s="42"/>
    </row>
    <row r="6" spans="3:24" ht="12.75" x14ac:dyDescent="0.2">
      <c r="C6" s="2" t="s">
        <v>39</v>
      </c>
      <c r="D6" s="164">
        <f>BS!D9</f>
        <v>38.700000000000003</v>
      </c>
      <c r="E6" s="164">
        <f>BS!E9</f>
        <v>79</v>
      </c>
      <c r="F6" s="164">
        <f>BS!F9</f>
        <v>99.8</v>
      </c>
      <c r="G6" s="164">
        <f>BS!G9</f>
        <v>26.8</v>
      </c>
      <c r="H6" s="164">
        <f>BS!H9</f>
        <v>43.5</v>
      </c>
      <c r="I6" s="164">
        <f>BS!I9</f>
        <v>137.9</v>
      </c>
      <c r="J6" s="165">
        <f>BS!J9</f>
        <v>102.21789667458678</v>
      </c>
      <c r="K6" s="164">
        <f>BS!K9</f>
        <v>83.439285734826996</v>
      </c>
      <c r="L6" s="164">
        <f>BS!L9</f>
        <v>84.041699039527884</v>
      </c>
      <c r="M6" s="164">
        <f>BS!M9</f>
        <v>82.571272652457381</v>
      </c>
      <c r="N6" s="164">
        <f>BS!N9</f>
        <v>81.04522007489696</v>
      </c>
      <c r="O6" s="164">
        <f>BS!O9</f>
        <v>79.463541306846679</v>
      </c>
      <c r="P6" s="164">
        <f>BS!P9</f>
        <v>76.855834398826374</v>
      </c>
      <c r="Q6" s="164">
        <f>BS!Q9</f>
        <v>74.171106611666204</v>
      </c>
    </row>
    <row r="7" spans="3:24" ht="12.75" x14ac:dyDescent="0.2">
      <c r="C7" s="2" t="s">
        <v>40</v>
      </c>
      <c r="D7" s="164">
        <f>BS!D10</f>
        <v>754.7</v>
      </c>
      <c r="E7" s="164">
        <f>BS!E10</f>
        <v>558.29999999999995</v>
      </c>
      <c r="F7" s="164">
        <f>BS!F10</f>
        <v>642.29999999999995</v>
      </c>
      <c r="G7" s="164">
        <f>BS!G10</f>
        <v>467.7</v>
      </c>
      <c r="H7" s="164">
        <f>BS!H10</f>
        <v>501.9</v>
      </c>
      <c r="I7" s="164">
        <f>BS!I10</f>
        <v>357.1</v>
      </c>
      <c r="J7" s="165">
        <f>BS!J10</f>
        <v>448.26346843873233</v>
      </c>
      <c r="K7" s="164">
        <f>BS!K10</f>
        <v>384.39640931434832</v>
      </c>
      <c r="L7" s="164">
        <f>BS!L10</f>
        <v>381.67224690687055</v>
      </c>
      <c r="M7" s="164">
        <f>BS!M10</f>
        <v>369.59116022111482</v>
      </c>
      <c r="N7" s="164">
        <f>BS!N10</f>
        <v>357.45716926248281</v>
      </c>
      <c r="O7" s="164">
        <f>BS!O10</f>
        <v>345.28119403097458</v>
      </c>
      <c r="P7" s="164">
        <f>BS!P10</f>
        <v>328.92111020580967</v>
      </c>
      <c r="Q7" s="164">
        <f>BS!Q10</f>
        <v>312.57771892589295</v>
      </c>
    </row>
    <row r="8" spans="3:24" ht="12.75" x14ac:dyDescent="0.2">
      <c r="C8" s="4" t="s">
        <v>41</v>
      </c>
      <c r="D8" s="164">
        <f>BS!D13</f>
        <v>191.5</v>
      </c>
      <c r="E8" s="164">
        <f>BS!E13</f>
        <v>96.1</v>
      </c>
      <c r="F8" s="164">
        <f>BS!F13</f>
        <v>134.80000000000001</v>
      </c>
      <c r="G8" s="164">
        <f>BS!G13</f>
        <v>181.6</v>
      </c>
      <c r="H8" s="164">
        <f>BS!H13</f>
        <v>107.3</v>
      </c>
      <c r="I8" s="164">
        <f>BS!I13</f>
        <v>132.4</v>
      </c>
      <c r="J8" s="165">
        <f>BS!J13</f>
        <v>108.57666005445391</v>
      </c>
      <c r="K8" s="164">
        <f>BS!K13</f>
        <v>94.429525947326923</v>
      </c>
      <c r="L8" s="164">
        <f>BS!L13</f>
        <v>95.111286370924645</v>
      </c>
      <c r="M8" s="164">
        <f>BS!M13</f>
        <v>93.44718216091519</v>
      </c>
      <c r="N8" s="164">
        <f>BS!N13</f>
        <v>91.720124933607494</v>
      </c>
      <c r="O8" s="164">
        <f>BS!O13</f>
        <v>89.93011468900157</v>
      </c>
      <c r="P8" s="164">
        <f>BS!P13</f>
        <v>86.978932581373016</v>
      </c>
      <c r="Q8" s="164">
        <f>BS!Q13</f>
        <v>83.940584757485368</v>
      </c>
    </row>
    <row r="9" spans="3:24" ht="12.75" x14ac:dyDescent="0.2">
      <c r="C9" s="4" t="s">
        <v>42</v>
      </c>
      <c r="D9" s="164">
        <f>BS!D14</f>
        <v>69.5</v>
      </c>
      <c r="E9" s="164">
        <f>BS!E14</f>
        <v>60.7</v>
      </c>
      <c r="F9" s="164">
        <f>BS!F14</f>
        <v>49.6</v>
      </c>
      <c r="G9" s="164">
        <f>BS!G14</f>
        <v>31.3</v>
      </c>
      <c r="H9" s="164">
        <f>BS!H14</f>
        <v>21.1</v>
      </c>
      <c r="I9" s="164">
        <f>BS!I14</f>
        <v>17.100000000000001</v>
      </c>
      <c r="J9" s="165">
        <f>BS!J14</f>
        <v>31.503395010485377</v>
      </c>
      <c r="K9" s="164">
        <f>BS!K14</f>
        <v>27.39862006327655</v>
      </c>
      <c r="L9" s="164">
        <f>BS!L14</f>
        <v>27.596432078458665</v>
      </c>
      <c r="M9" s="164">
        <f>BS!M14</f>
        <v>27.113594125621955</v>
      </c>
      <c r="N9" s="164">
        <f>BS!N14</f>
        <v>26.612490426076384</v>
      </c>
      <c r="O9" s="164">
        <f>BS!O14</f>
        <v>26.093120979821968</v>
      </c>
      <c r="P9" s="164">
        <f>BS!P14</f>
        <v>25.23683883191034</v>
      </c>
      <c r="Q9" s="164">
        <f>BS!Q14</f>
        <v>24.355265650094136</v>
      </c>
    </row>
    <row r="10" spans="3:24" ht="12.75" x14ac:dyDescent="0.2">
      <c r="C10" s="4" t="s">
        <v>43</v>
      </c>
      <c r="D10" s="164">
        <f>BS!D15</f>
        <v>148.1</v>
      </c>
      <c r="E10" s="164">
        <f>BS!E15</f>
        <v>307.3</v>
      </c>
      <c r="F10" s="164">
        <f>BS!F15</f>
        <v>32.299999999999997</v>
      </c>
      <c r="G10" s="164">
        <f>BS!G15</f>
        <v>84.3</v>
      </c>
      <c r="H10" s="164">
        <f>BS!H15</f>
        <v>107.8</v>
      </c>
      <c r="I10" s="164">
        <f>BS!I15</f>
        <v>24.7</v>
      </c>
      <c r="J10" s="165">
        <f>BS!J15</f>
        <v>88.335897763309674</v>
      </c>
      <c r="K10" s="164">
        <f>BS!K15</f>
        <v>76.826059539291307</v>
      </c>
      <c r="L10" s="164">
        <f>BS!L15</f>
        <v>77.380726804316737</v>
      </c>
      <c r="M10" s="164">
        <f>BS!M15</f>
        <v>76.02684338877269</v>
      </c>
      <c r="N10" s="164">
        <f>BS!N15</f>
        <v>74.621742600202424</v>
      </c>
      <c r="O10" s="164">
        <f>BS!O15</f>
        <v>73.165424438605967</v>
      </c>
      <c r="P10" s="164">
        <f>BS!P15</f>
        <v>70.764399017399995</v>
      </c>
      <c r="Q10" s="164">
        <f>BS!Q15</f>
        <v>68.292457233542336</v>
      </c>
    </row>
    <row r="11" spans="3:24" ht="12.75" x14ac:dyDescent="0.2">
      <c r="C11" s="2"/>
      <c r="D11" s="164"/>
      <c r="E11" s="164"/>
      <c r="F11" s="164"/>
      <c r="G11" s="164"/>
      <c r="H11" s="164"/>
      <c r="I11" s="164"/>
      <c r="J11" s="165"/>
      <c r="K11" s="164"/>
      <c r="L11" s="164"/>
      <c r="M11" s="164"/>
      <c r="N11" s="164"/>
      <c r="O11" s="164"/>
      <c r="P11" s="164"/>
      <c r="Q11" s="164"/>
    </row>
    <row r="12" spans="3:24" ht="12.75" x14ac:dyDescent="0.2">
      <c r="C12" s="4" t="s">
        <v>51</v>
      </c>
      <c r="D12" s="164">
        <f>BS!D29</f>
        <v>95.4</v>
      </c>
      <c r="E12" s="164">
        <f>BS!E29</f>
        <v>38.299999999999997</v>
      </c>
      <c r="F12" s="164">
        <f>BS!F29</f>
        <v>60.2</v>
      </c>
      <c r="G12" s="164">
        <f>BS!G29</f>
        <v>68.400000000000006</v>
      </c>
      <c r="H12" s="164">
        <f>BS!H29</f>
        <v>22.3</v>
      </c>
      <c r="I12" s="164">
        <f>BS!I29</f>
        <v>75.7</v>
      </c>
      <c r="J12" s="165">
        <f>BS!J29</f>
        <v>46.26081621117666</v>
      </c>
      <c r="K12" s="164">
        <f>BS!K29</f>
        <v>40.233204286878717</v>
      </c>
      <c r="L12" s="164">
        <f>BS!L29</f>
        <v>40.523679179367491</v>
      </c>
      <c r="M12" s="164">
        <f>BS!M29</f>
        <v>39.814661062795444</v>
      </c>
      <c r="N12" s="164">
        <f>BS!N29</f>
        <v>39.078820810032127</v>
      </c>
      <c r="O12" s="164">
        <f>BS!O29</f>
        <v>38.31615842107756</v>
      </c>
      <c r="P12" s="164">
        <f>BS!P29</f>
        <v>37.058760256331595</v>
      </c>
      <c r="Q12" s="164">
        <f>BS!Q29</f>
        <v>35.764223749166952</v>
      </c>
      <c r="S12" s="332"/>
    </row>
    <row r="13" spans="3:24" ht="12.75" x14ac:dyDescent="0.2">
      <c r="C13" s="4" t="s">
        <v>57</v>
      </c>
      <c r="D13" s="164">
        <f>BS!D35</f>
        <v>240.1</v>
      </c>
      <c r="E13" s="164">
        <f>BS!E35</f>
        <v>488.2</v>
      </c>
      <c r="F13" s="164">
        <f>BS!F35</f>
        <v>435.5</v>
      </c>
      <c r="G13" s="164">
        <f>BS!G35</f>
        <v>336.5</v>
      </c>
      <c r="H13" s="164">
        <f>BS!H35</f>
        <v>188.9</v>
      </c>
      <c r="I13" s="164">
        <f>BS!I35</f>
        <v>171.3</v>
      </c>
      <c r="J13" s="165">
        <f>BS!J35</f>
        <v>194.77494999999999</v>
      </c>
      <c r="K13" s="164">
        <f>BS!K35</f>
        <v>169.39650000000003</v>
      </c>
      <c r="L13" s="164">
        <f>BS!L35</f>
        <v>170.6195055</v>
      </c>
      <c r="M13" s="164">
        <f>BS!M35</f>
        <v>167.63428000000005</v>
      </c>
      <c r="N13" s="164">
        <f>BS!N35</f>
        <v>164.53612350000003</v>
      </c>
      <c r="O13" s="164">
        <f>BS!O35</f>
        <v>161.32503600000004</v>
      </c>
      <c r="P13" s="164">
        <f>BS!P35</f>
        <v>156.03093000000007</v>
      </c>
      <c r="Q13" s="164">
        <f>BS!Q35</f>
        <v>150.58045799999999</v>
      </c>
    </row>
    <row r="14" spans="3:24" ht="13.5" thickBot="1" x14ac:dyDescent="0.25">
      <c r="C14" s="52" t="s">
        <v>135</v>
      </c>
      <c r="D14" s="219">
        <f t="shared" ref="D14:Q14" si="2">SUM(D6:D10)-SUM(D12:D13)</f>
        <v>867</v>
      </c>
      <c r="E14" s="219">
        <f t="shared" si="2"/>
        <v>574.90000000000009</v>
      </c>
      <c r="F14" s="219">
        <f t="shared" si="2"/>
        <v>463.09999999999985</v>
      </c>
      <c r="G14" s="219">
        <f t="shared" si="2"/>
        <v>386.79999999999995</v>
      </c>
      <c r="H14" s="219">
        <f t="shared" si="2"/>
        <v>570.39999999999986</v>
      </c>
      <c r="I14" s="219">
        <f t="shared" si="2"/>
        <v>422.20000000000005</v>
      </c>
      <c r="J14" s="220">
        <f t="shared" si="2"/>
        <v>537.86155173039151</v>
      </c>
      <c r="K14" s="219">
        <f t="shared" si="2"/>
        <v>456.86019631219148</v>
      </c>
      <c r="L14" s="219">
        <f t="shared" si="2"/>
        <v>454.65920652073095</v>
      </c>
      <c r="M14" s="219">
        <f t="shared" si="2"/>
        <v>441.3011114860866</v>
      </c>
      <c r="N14" s="219">
        <f t="shared" si="2"/>
        <v>427.84180298723396</v>
      </c>
      <c r="O14" s="219">
        <f t="shared" si="2"/>
        <v>414.29220102417315</v>
      </c>
      <c r="P14" s="219">
        <f t="shared" si="2"/>
        <v>395.66742477898765</v>
      </c>
      <c r="Q14" s="219">
        <f t="shared" si="2"/>
        <v>376.99245142951395</v>
      </c>
    </row>
    <row r="15" spans="3:24" s="7" customFormat="1" ht="12.75" thickTop="1" x14ac:dyDescent="0.2">
      <c r="C15" s="7" t="s">
        <v>136</v>
      </c>
      <c r="D15" s="221">
        <f>D14/IS!D5</f>
        <v>0.51527398074408659</v>
      </c>
      <c r="E15" s="221">
        <f>E14/IS!E5</f>
        <v>0.41178998639065978</v>
      </c>
      <c r="F15" s="221">
        <f>F14/IS!F5</f>
        <v>0.36027695658938835</v>
      </c>
      <c r="G15" s="221">
        <f>G14/IS!G5</f>
        <v>0.21692557904772586</v>
      </c>
      <c r="H15" s="221">
        <f>H14/IS!H5</f>
        <v>0.3490606450033657</v>
      </c>
      <c r="I15" s="221">
        <f>I14/IS!I5</f>
        <v>0.27506677959476189</v>
      </c>
      <c r="J15" s="358">
        <f>J14/IS!J5</f>
        <v>0.46944673221154243</v>
      </c>
      <c r="K15" s="221">
        <f>K14/IS!K5</f>
        <v>0.45848782810195338</v>
      </c>
      <c r="L15" s="221">
        <f>L14/IS!L5</f>
        <v>0.45300837604715871</v>
      </c>
      <c r="M15" s="221">
        <f>M14/IS!M5</f>
        <v>0.44752892399236427</v>
      </c>
      <c r="N15" s="221">
        <f>N14/IS!N5</f>
        <v>0.44204947193756977</v>
      </c>
      <c r="O15" s="221">
        <f>O14/IS!O5</f>
        <v>0.43657001988277522</v>
      </c>
      <c r="P15" s="221">
        <f>P14/IS!P5</f>
        <v>0.4310905678279805</v>
      </c>
      <c r="Q15" s="221">
        <f>Q14/IS!Q5</f>
        <v>0.425611115773186</v>
      </c>
    </row>
    <row r="16" spans="3:24" x14ac:dyDescent="0.2">
      <c r="J16" s="59"/>
    </row>
    <row r="17" spans="3:20" ht="12.75" x14ac:dyDescent="0.2">
      <c r="C17" s="2" t="s">
        <v>137</v>
      </c>
      <c r="D17" s="19"/>
      <c r="E17" s="179">
        <f t="shared" ref="E17:I17" si="3">+E14-D14</f>
        <v>-292.09999999999991</v>
      </c>
      <c r="F17" s="179">
        <f t="shared" si="3"/>
        <v>-111.80000000000024</v>
      </c>
      <c r="G17" s="179">
        <f t="shared" si="3"/>
        <v>-76.299999999999898</v>
      </c>
      <c r="H17" s="179">
        <f t="shared" si="3"/>
        <v>183.59999999999991</v>
      </c>
      <c r="I17" s="179">
        <f t="shared" si="3"/>
        <v>-148.19999999999982</v>
      </c>
      <c r="J17" s="178">
        <f>+J14-I14</f>
        <v>115.66155173039147</v>
      </c>
      <c r="K17" s="179">
        <f t="shared" ref="K17:Q17" si="4">+K14-J14</f>
        <v>-81.001355418200035</v>
      </c>
      <c r="L17" s="179">
        <f t="shared" si="4"/>
        <v>-2.200989791460529</v>
      </c>
      <c r="M17" s="179">
        <f t="shared" si="4"/>
        <v>-13.35809503464435</v>
      </c>
      <c r="N17" s="179">
        <f t="shared" si="4"/>
        <v>-13.459308498852636</v>
      </c>
      <c r="O17" s="179">
        <f t="shared" si="4"/>
        <v>-13.549601963060809</v>
      </c>
      <c r="P17" s="179">
        <f t="shared" si="4"/>
        <v>-18.624776245185501</v>
      </c>
      <c r="Q17" s="179">
        <f t="shared" si="4"/>
        <v>-18.674973349473703</v>
      </c>
    </row>
    <row r="18" spans="3:20" ht="12.75" x14ac:dyDescent="0.2">
      <c r="C18" s="2"/>
      <c r="D18" s="6"/>
      <c r="E18" s="6"/>
      <c r="F18" s="6"/>
      <c r="G18" s="6"/>
      <c r="H18" s="6"/>
      <c r="I18" s="6"/>
      <c r="J18" s="15"/>
      <c r="K18" s="6"/>
      <c r="L18" s="6"/>
      <c r="M18" s="6"/>
      <c r="N18" s="6"/>
      <c r="O18" s="6"/>
      <c r="P18" s="6"/>
      <c r="Q18" s="6"/>
    </row>
    <row r="19" spans="3:20" ht="12.75" x14ac:dyDescent="0.2">
      <c r="C19" s="55" t="s">
        <v>203</v>
      </c>
      <c r="D19" s="56">
        <v>2019</v>
      </c>
      <c r="E19" s="56">
        <f>D19+1</f>
        <v>2020</v>
      </c>
      <c r="F19" s="56">
        <f t="shared" ref="F19" si="5">E19+1</f>
        <v>2021</v>
      </c>
      <c r="G19" s="56">
        <f t="shared" ref="G19" si="6">F19+1</f>
        <v>2022</v>
      </c>
      <c r="H19" s="56">
        <f t="shared" ref="H19" si="7">G19+1</f>
        <v>2023</v>
      </c>
      <c r="I19" s="56">
        <f t="shared" ref="I19" si="8">H19+1</f>
        <v>2024</v>
      </c>
      <c r="J19" s="136">
        <f t="shared" ref="J19" si="9">I19+1</f>
        <v>2025</v>
      </c>
      <c r="K19" s="57">
        <f t="shared" ref="K19" si="10">J19+1</f>
        <v>2026</v>
      </c>
      <c r="L19" s="57">
        <f t="shared" ref="L19" si="11">K19+1</f>
        <v>2027</v>
      </c>
      <c r="M19" s="57">
        <f t="shared" ref="M19" si="12">L19+1</f>
        <v>2028</v>
      </c>
      <c r="N19" s="57">
        <f t="shared" ref="N19" si="13">M19+1</f>
        <v>2029</v>
      </c>
      <c r="O19" s="57">
        <f t="shared" ref="O19" si="14">N19+1</f>
        <v>2030</v>
      </c>
      <c r="P19" s="57">
        <f t="shared" ref="P19" si="15">O19+1</f>
        <v>2031</v>
      </c>
      <c r="Q19" s="57">
        <f t="shared" ref="Q19" si="16">P19+1</f>
        <v>2032</v>
      </c>
      <c r="S19" s="133" t="s">
        <v>530</v>
      </c>
      <c r="T19" s="133" t="s">
        <v>555</v>
      </c>
    </row>
    <row r="20" spans="3:20" ht="12.75" x14ac:dyDescent="0.2">
      <c r="C20" s="2" t="s">
        <v>595</v>
      </c>
      <c r="D20" s="50">
        <f>(D6/IS!D5)*365</f>
        <v>8.395043385237134</v>
      </c>
      <c r="E20" s="50">
        <f>(E6/IS!E5)*365</f>
        <v>20.653964615715207</v>
      </c>
      <c r="F20" s="50">
        <f>(F6/IS!F5)*365</f>
        <v>28.339038431616615</v>
      </c>
      <c r="G20" s="50">
        <f>(G6/IS!G5)*365</f>
        <v>5.485951432897763</v>
      </c>
      <c r="H20" s="50">
        <f>(H6/IS!H5)*365</f>
        <v>9.7163576280521404</v>
      </c>
      <c r="I20" s="50">
        <f>(I6/IS!I5)*365</f>
        <v>32.792690077529478</v>
      </c>
      <c r="J20" s="178">
        <f>AVERAGE(D20:I20)+S20</f>
        <v>32.563840928508057</v>
      </c>
      <c r="K20" s="179">
        <f>J20-T20</f>
        <v>30.563840928508057</v>
      </c>
      <c r="L20" s="179">
        <f t="shared" ref="L20:N20" si="17">K20</f>
        <v>30.563840928508057</v>
      </c>
      <c r="M20" s="179">
        <f t="shared" si="17"/>
        <v>30.563840928508057</v>
      </c>
      <c r="N20" s="179">
        <f t="shared" si="17"/>
        <v>30.563840928508057</v>
      </c>
      <c r="O20" s="179">
        <f t="shared" ref="O20" si="18">N20</f>
        <v>30.563840928508057</v>
      </c>
      <c r="P20" s="179">
        <f t="shared" ref="P20" si="19">O20</f>
        <v>30.563840928508057</v>
      </c>
      <c r="Q20" s="179">
        <f t="shared" ref="Q20" si="20">P20</f>
        <v>30.563840928508057</v>
      </c>
      <c r="S20" s="449">
        <v>15</v>
      </c>
      <c r="T20" s="450">
        <v>2</v>
      </c>
    </row>
    <row r="21" spans="3:20" ht="12.75" x14ac:dyDescent="0.2">
      <c r="C21" s="2"/>
      <c r="D21" s="6"/>
      <c r="E21" s="6"/>
      <c r="F21" s="6"/>
      <c r="G21" s="6"/>
      <c r="H21" s="6"/>
      <c r="I21" s="6"/>
      <c r="J21" s="15"/>
      <c r="K21" s="6"/>
      <c r="L21" s="6"/>
      <c r="M21" s="6"/>
      <c r="N21" s="6"/>
      <c r="O21" s="6"/>
      <c r="P21" s="6"/>
      <c r="Q21" s="6"/>
      <c r="S21" s="323"/>
    </row>
    <row r="22" spans="3:20" ht="12.75" x14ac:dyDescent="0.2">
      <c r="C22" s="2" t="s">
        <v>596</v>
      </c>
      <c r="D22" s="50">
        <f>D7/IS!D5*365</f>
        <v>163.71419232140735</v>
      </c>
      <c r="E22" s="50">
        <f>E7/IS!E5*365</f>
        <v>145.96339803738988</v>
      </c>
      <c r="F22" s="50">
        <f>F7/IS!F5*365</f>
        <v>182.38641667963279</v>
      </c>
      <c r="G22" s="50">
        <f>G7/IS!G5*365</f>
        <v>95.73804049127925</v>
      </c>
      <c r="H22" s="50">
        <f>H7/IS!H5*365</f>
        <v>112.10666421883606</v>
      </c>
      <c r="I22" s="50">
        <f>I7/IS!I5*365</f>
        <v>84.918561469802597</v>
      </c>
      <c r="J22" s="178">
        <f>AVERAGE(D22:I22)+S22</f>
        <v>142.80454553639132</v>
      </c>
      <c r="K22" s="179">
        <f>J22-$T$22</f>
        <v>140.80454553639132</v>
      </c>
      <c r="L22" s="179">
        <f t="shared" ref="L22:Q22" si="21">K22-$T$22</f>
        <v>138.80454553639132</v>
      </c>
      <c r="M22" s="179">
        <f t="shared" si="21"/>
        <v>136.80454553639132</v>
      </c>
      <c r="N22" s="179">
        <f t="shared" si="21"/>
        <v>134.80454553639132</v>
      </c>
      <c r="O22" s="179">
        <f t="shared" si="21"/>
        <v>132.80454553639132</v>
      </c>
      <c r="P22" s="179">
        <f t="shared" si="21"/>
        <v>130.80454553639132</v>
      </c>
      <c r="Q22" s="179">
        <f t="shared" si="21"/>
        <v>128.80454553639132</v>
      </c>
      <c r="S22" s="450">
        <v>12</v>
      </c>
      <c r="T22" s="450">
        <v>2</v>
      </c>
    </row>
    <row r="23" spans="3:20" ht="12.75" x14ac:dyDescent="0.2">
      <c r="C23" s="2"/>
      <c r="D23" s="6"/>
      <c r="E23" s="6"/>
      <c r="F23" s="6"/>
      <c r="G23" s="6"/>
      <c r="H23" s="6"/>
      <c r="I23" s="6"/>
      <c r="J23" s="15"/>
      <c r="K23" s="6"/>
      <c r="L23" s="6"/>
      <c r="M23" s="6"/>
      <c r="N23" s="6"/>
      <c r="O23" s="6"/>
      <c r="P23" s="6"/>
      <c r="Q23" s="6"/>
    </row>
    <row r="24" spans="3:20" ht="12.75" x14ac:dyDescent="0.2">
      <c r="C24" s="2" t="s">
        <v>597</v>
      </c>
      <c r="D24" s="50">
        <f>-D8/IS!D8*365</f>
        <v>71.992481203007529</v>
      </c>
      <c r="E24" s="50">
        <f>-E8/IS!E8*365</f>
        <v>35.302435587761671</v>
      </c>
      <c r="F24" s="50">
        <f>-F8/IS!F8*365</f>
        <v>77.974643423137891</v>
      </c>
      <c r="G24" s="50">
        <f>-G8/IS!G8*365</f>
        <v>97.07674282366726</v>
      </c>
      <c r="H24" s="50">
        <f>-H8/IS!H8*365</f>
        <v>46.441954227439822</v>
      </c>
      <c r="I24" s="50">
        <f>-I8/IS!I8*365</f>
        <v>62.549831736991976</v>
      </c>
      <c r="J24" s="178">
        <f>AVERAGE(D24:I24)</f>
        <v>65.22301483366769</v>
      </c>
      <c r="K24" s="179">
        <f>J24</f>
        <v>65.22301483366769</v>
      </c>
      <c r="L24" s="179">
        <f t="shared" ref="L24:N24" si="22">K24</f>
        <v>65.22301483366769</v>
      </c>
      <c r="M24" s="179">
        <f t="shared" si="22"/>
        <v>65.22301483366769</v>
      </c>
      <c r="N24" s="179">
        <f t="shared" si="22"/>
        <v>65.22301483366769</v>
      </c>
      <c r="O24" s="179">
        <f t="shared" ref="O24" si="23">N24</f>
        <v>65.22301483366769</v>
      </c>
      <c r="P24" s="179">
        <f t="shared" ref="P24" si="24">O24</f>
        <v>65.22301483366769</v>
      </c>
      <c r="Q24" s="179">
        <f t="shared" ref="Q24" si="25">P24</f>
        <v>65.22301483366769</v>
      </c>
    </row>
    <row r="25" spans="3:20" ht="12.75" x14ac:dyDescent="0.2">
      <c r="C25" s="2"/>
      <c r="D25" s="6"/>
      <c r="E25" s="6"/>
      <c r="F25" s="6"/>
      <c r="G25" s="6"/>
      <c r="H25" s="6"/>
      <c r="I25" s="6"/>
      <c r="J25" s="15"/>
      <c r="K25" s="6"/>
      <c r="L25" s="6"/>
      <c r="M25" s="6"/>
      <c r="N25" s="6"/>
      <c r="O25" s="6"/>
      <c r="P25" s="6"/>
      <c r="Q25" s="6"/>
    </row>
    <row r="26" spans="3:20" ht="12.75" x14ac:dyDescent="0.2">
      <c r="C26" s="2" t="str">
        <f t="shared" ref="C26:I26" si="26">C9</f>
        <v>Prepaid Exp.</v>
      </c>
      <c r="D26" s="179">
        <f t="shared" si="26"/>
        <v>69.5</v>
      </c>
      <c r="E26" s="179">
        <f t="shared" si="26"/>
        <v>60.7</v>
      </c>
      <c r="F26" s="179">
        <f t="shared" si="26"/>
        <v>49.6</v>
      </c>
      <c r="G26" s="179">
        <f t="shared" si="26"/>
        <v>31.3</v>
      </c>
      <c r="H26" s="179">
        <f t="shared" si="26"/>
        <v>21.1</v>
      </c>
      <c r="I26" s="179">
        <f t="shared" si="26"/>
        <v>17.100000000000001</v>
      </c>
      <c r="J26" s="156">
        <f>IS!J5*J27</f>
        <v>31.503395010485377</v>
      </c>
      <c r="K26" s="50">
        <f>IS!K5*K27</f>
        <v>27.39862006327655</v>
      </c>
      <c r="L26" s="50">
        <f>IS!L5*L27</f>
        <v>27.596432078458665</v>
      </c>
      <c r="M26" s="50">
        <f>IS!M5*M27</f>
        <v>27.113594125621955</v>
      </c>
      <c r="N26" s="50">
        <f>IS!N5*N27</f>
        <v>26.612490426076384</v>
      </c>
      <c r="O26" s="50">
        <f>IS!O5*O27</f>
        <v>26.093120979821968</v>
      </c>
      <c r="P26" s="50">
        <f>IS!P5*P27</f>
        <v>25.23683883191034</v>
      </c>
      <c r="Q26" s="50">
        <f>IS!Q5*Q27</f>
        <v>24.355265650094136</v>
      </c>
    </row>
    <row r="27" spans="3:20" ht="12.75" x14ac:dyDescent="0.2">
      <c r="C27" s="2" t="s">
        <v>202</v>
      </c>
      <c r="D27" s="222">
        <f>D26/IS!D5</f>
        <v>4.1305123023891596E-2</v>
      </c>
      <c r="E27" s="222">
        <f>E26/IS!E5</f>
        <v>4.3478260869565223E-2</v>
      </c>
      <c r="F27" s="222">
        <f>F26/IS!F5</f>
        <v>3.8587210206939469E-2</v>
      </c>
      <c r="G27" s="222">
        <f>G26/IS!G5</f>
        <v>1.7553698614772028E-2</v>
      </c>
      <c r="H27" s="222">
        <f>H26/IS!H5</f>
        <v>1.2912306468392389E-2</v>
      </c>
      <c r="I27" s="222">
        <f>I26/IS!I5</f>
        <v>1.1140790931005277E-2</v>
      </c>
      <c r="J27" s="359">
        <f>AVERAGE(D27:I27)</f>
        <v>2.7496231685761E-2</v>
      </c>
      <c r="K27" s="223">
        <f>J27</f>
        <v>2.7496231685761E-2</v>
      </c>
      <c r="L27" s="223">
        <f t="shared" ref="L27:N27" si="27">K27</f>
        <v>2.7496231685761E-2</v>
      </c>
      <c r="M27" s="223">
        <f t="shared" si="27"/>
        <v>2.7496231685761E-2</v>
      </c>
      <c r="N27" s="223">
        <f t="shared" si="27"/>
        <v>2.7496231685761E-2</v>
      </c>
      <c r="O27" s="223">
        <f t="shared" ref="O27" si="28">N27</f>
        <v>2.7496231685761E-2</v>
      </c>
      <c r="P27" s="223">
        <f t="shared" ref="P27" si="29">O27</f>
        <v>2.7496231685761E-2</v>
      </c>
      <c r="Q27" s="223">
        <f t="shared" ref="Q27" si="30">P27</f>
        <v>2.7496231685761E-2</v>
      </c>
    </row>
    <row r="28" spans="3:20" ht="12.75" x14ac:dyDescent="0.2">
      <c r="C28" s="2"/>
      <c r="D28" s="6"/>
      <c r="E28" s="6"/>
      <c r="F28" s="6"/>
      <c r="G28" s="6"/>
      <c r="H28" s="6"/>
      <c r="I28" s="6"/>
      <c r="J28" s="15"/>
      <c r="K28" s="6"/>
      <c r="L28" s="6"/>
      <c r="M28" s="6"/>
      <c r="N28" s="6"/>
      <c r="O28" s="6"/>
      <c r="P28" s="6"/>
      <c r="Q28" s="6"/>
    </row>
    <row r="29" spans="3:20" ht="12.75" x14ac:dyDescent="0.2">
      <c r="C29" s="2" t="str">
        <f t="shared" ref="C29:I29" si="31">C10</f>
        <v>Other Current Assets</v>
      </c>
      <c r="D29" s="179">
        <f t="shared" si="31"/>
        <v>148.1</v>
      </c>
      <c r="E29" s="179">
        <f t="shared" si="31"/>
        <v>307.3</v>
      </c>
      <c r="F29" s="179">
        <f t="shared" si="31"/>
        <v>32.299999999999997</v>
      </c>
      <c r="G29" s="179">
        <f t="shared" si="31"/>
        <v>84.3</v>
      </c>
      <c r="H29" s="179">
        <f t="shared" si="31"/>
        <v>107.8</v>
      </c>
      <c r="I29" s="179">
        <f t="shared" si="31"/>
        <v>24.7</v>
      </c>
      <c r="J29" s="156">
        <f>IS!J5*J30</f>
        <v>88.335897763309674</v>
      </c>
      <c r="K29" s="50">
        <f>IS!K5*K30</f>
        <v>76.826059539291307</v>
      </c>
      <c r="L29" s="50">
        <f>IS!L5*L30</f>
        <v>77.380726804316737</v>
      </c>
      <c r="M29" s="50">
        <f>IS!M5*M30</f>
        <v>76.02684338877269</v>
      </c>
      <c r="N29" s="50">
        <f>IS!N5*N30</f>
        <v>74.621742600202424</v>
      </c>
      <c r="O29" s="50">
        <f>IS!O5*O30</f>
        <v>73.165424438605967</v>
      </c>
      <c r="P29" s="50">
        <f>IS!P5*P30</f>
        <v>70.764399017399995</v>
      </c>
      <c r="Q29" s="50">
        <f>IS!Q5*Q30</f>
        <v>68.292457233542336</v>
      </c>
    </row>
    <row r="30" spans="3:20" ht="12.75" x14ac:dyDescent="0.2">
      <c r="C30" s="2" t="s">
        <v>202</v>
      </c>
      <c r="D30" s="222">
        <f>D29/IS!D5</f>
        <v>8.8018542731486987E-2</v>
      </c>
      <c r="E30" s="222">
        <f>E29/IS!E5</f>
        <v>0.22011317240885325</v>
      </c>
      <c r="F30" s="222">
        <f>F29/IS!F5</f>
        <v>2.5128364711373887E-2</v>
      </c>
      <c r="G30" s="222">
        <f>G29/IS!G5</f>
        <v>4.7277213841063315E-2</v>
      </c>
      <c r="H30" s="222">
        <f>H29/IS!H5</f>
        <v>6.5969034942781959E-2</v>
      </c>
      <c r="I30" s="222">
        <f>I29/IS!I5</f>
        <v>1.6092253567007622E-2</v>
      </c>
      <c r="J30" s="359">
        <f>AVERAGE(D30:I30)</f>
        <v>7.7099763700427829E-2</v>
      </c>
      <c r="K30" s="223">
        <f>J30</f>
        <v>7.7099763700427829E-2</v>
      </c>
      <c r="L30" s="223">
        <f t="shared" ref="L30:N30" si="32">K30</f>
        <v>7.7099763700427829E-2</v>
      </c>
      <c r="M30" s="223">
        <f t="shared" si="32"/>
        <v>7.7099763700427829E-2</v>
      </c>
      <c r="N30" s="223">
        <f t="shared" si="32"/>
        <v>7.7099763700427829E-2</v>
      </c>
      <c r="O30" s="223">
        <f t="shared" ref="O30" si="33">N30</f>
        <v>7.7099763700427829E-2</v>
      </c>
      <c r="P30" s="223">
        <f t="shared" ref="P30" si="34">O30</f>
        <v>7.7099763700427829E-2</v>
      </c>
      <c r="Q30" s="223">
        <f t="shared" ref="Q30" si="35">P30</f>
        <v>7.7099763700427829E-2</v>
      </c>
    </row>
    <row r="31" spans="3:20" ht="12.75" x14ac:dyDescent="0.2">
      <c r="C31" s="2"/>
      <c r="D31" s="6"/>
      <c r="E31" s="6"/>
      <c r="F31" s="6"/>
      <c r="G31" s="6"/>
      <c r="H31" s="6"/>
      <c r="I31" s="6"/>
      <c r="J31" s="15"/>
      <c r="K31" s="6"/>
      <c r="L31" s="6"/>
      <c r="M31" s="6"/>
      <c r="N31" s="6"/>
      <c r="O31" s="6"/>
      <c r="P31" s="6"/>
      <c r="Q31" s="6"/>
    </row>
    <row r="32" spans="3:20" ht="12.75" x14ac:dyDescent="0.2">
      <c r="C32" s="4" t="s">
        <v>598</v>
      </c>
      <c r="D32" s="50">
        <f>-D12/IS!D8*365</f>
        <v>35.86466165413534</v>
      </c>
      <c r="E32" s="50">
        <f>-E12/IS!E8*365</f>
        <v>14.069545088566827</v>
      </c>
      <c r="F32" s="50">
        <f>-F12/IS!F8*365</f>
        <v>34.822503961965133</v>
      </c>
      <c r="G32" s="50">
        <f>-G12/IS!G8*365</f>
        <v>36.564147627416524</v>
      </c>
      <c r="H32" s="50">
        <f>-H12/IS!H8*365</f>
        <v>9.6519625281631694</v>
      </c>
      <c r="I32" s="50">
        <f>-I12/IS!I8*365</f>
        <v>35.763008024851153</v>
      </c>
      <c r="J32" s="178">
        <f>AVERAGE(D32:I32)</f>
        <v>27.789304814183026</v>
      </c>
      <c r="K32" s="179">
        <f>J32</f>
        <v>27.789304814183026</v>
      </c>
      <c r="L32" s="179">
        <f t="shared" ref="L32:N32" si="36">K32</f>
        <v>27.789304814183026</v>
      </c>
      <c r="M32" s="179">
        <f t="shared" si="36"/>
        <v>27.789304814183026</v>
      </c>
      <c r="N32" s="179">
        <f t="shared" si="36"/>
        <v>27.789304814183026</v>
      </c>
      <c r="O32" s="179">
        <f t="shared" ref="O32" si="37">N32</f>
        <v>27.789304814183026</v>
      </c>
      <c r="P32" s="179">
        <f t="shared" ref="P32" si="38">O32</f>
        <v>27.789304814183026</v>
      </c>
      <c r="Q32" s="179">
        <f t="shared" ref="Q32" si="39">P32</f>
        <v>27.789304814183026</v>
      </c>
    </row>
    <row r="33" spans="3:17" x14ac:dyDescent="0.2">
      <c r="J33" s="59"/>
    </row>
    <row r="34" spans="3:17" ht="12.75" x14ac:dyDescent="0.2">
      <c r="C34" s="4" t="s">
        <v>57</v>
      </c>
      <c r="D34" s="179">
        <f t="shared" ref="D34:I34" si="40">D13</f>
        <v>240.1</v>
      </c>
      <c r="E34" s="179">
        <f t="shared" si="40"/>
        <v>488.2</v>
      </c>
      <c r="F34" s="179">
        <f t="shared" si="40"/>
        <v>435.5</v>
      </c>
      <c r="G34" s="179">
        <f t="shared" si="40"/>
        <v>336.5</v>
      </c>
      <c r="H34" s="179">
        <f t="shared" si="40"/>
        <v>188.9</v>
      </c>
      <c r="I34" s="179">
        <f t="shared" si="40"/>
        <v>171.3</v>
      </c>
      <c r="J34" s="156">
        <f>IS!J5*J35</f>
        <v>238.14249580674269</v>
      </c>
      <c r="K34" s="50">
        <f>IS!K5*K35</f>
        <v>207.11341623205084</v>
      </c>
      <c r="L34" s="50">
        <f>IS!L5*L35</f>
        <v>208.6087295778141</v>
      </c>
      <c r="M34" s="50">
        <f>IS!M5*M35</f>
        <v>204.95882977747567</v>
      </c>
      <c r="N34" s="50">
        <f>IS!N5*N35</f>
        <v>201.17085436631587</v>
      </c>
      <c r="O34" s="50">
        <f>IS!O5*O35</f>
        <v>197.24480334433468</v>
      </c>
      <c r="P34" s="50">
        <f>IS!P5*P35</f>
        <v>190.77194009418139</v>
      </c>
      <c r="Q34" s="50">
        <f>IS!Q5*Q35</f>
        <v>184.10789522904457</v>
      </c>
    </row>
    <row r="35" spans="3:17" ht="12.75" x14ac:dyDescent="0.2">
      <c r="C35" s="2" t="s">
        <v>202</v>
      </c>
      <c r="D35" s="222">
        <f>D34/IS!D5</f>
        <v>0.14269582788541543</v>
      </c>
      <c r="E35" s="222">
        <f>E34/IS!E5</f>
        <v>0.34968841773511927</v>
      </c>
      <c r="F35" s="222">
        <f>F34/IS!F5</f>
        <v>0.33880504123230121</v>
      </c>
      <c r="G35" s="222">
        <f>G34/IS!G5</f>
        <v>0.18871628063484944</v>
      </c>
      <c r="H35" s="222">
        <f>H34/IS!H5</f>
        <v>0.11559880056300105</v>
      </c>
      <c r="I35" s="222">
        <f>I34/IS!I5</f>
        <v>0.11160336178252656</v>
      </c>
      <c r="J35" s="359">
        <f>AVERAGE(D35:I35)</f>
        <v>0.20785128830553548</v>
      </c>
      <c r="K35" s="223">
        <f>J35</f>
        <v>0.20785128830553548</v>
      </c>
      <c r="L35" s="223">
        <f t="shared" ref="L35:N35" si="41">K35</f>
        <v>0.20785128830553548</v>
      </c>
      <c r="M35" s="223">
        <f t="shared" si="41"/>
        <v>0.20785128830553548</v>
      </c>
      <c r="N35" s="223">
        <f t="shared" si="41"/>
        <v>0.20785128830553548</v>
      </c>
      <c r="O35" s="223">
        <f t="shared" ref="O35" si="42">N35</f>
        <v>0.20785128830553548</v>
      </c>
      <c r="P35" s="223">
        <f t="shared" ref="P35" si="43">O35</f>
        <v>0.20785128830553548</v>
      </c>
      <c r="Q35" s="223">
        <f t="shared" ref="Q35" si="44">P35</f>
        <v>0.20785128830553548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D3F0D-3F7A-404D-9DA1-71603D355808}">
  <sheetPr>
    <tabColor theme="4" tint="0.59999389629810485"/>
  </sheetPr>
  <dimension ref="C1:AG86"/>
  <sheetViews>
    <sheetView showGridLines="0" workbookViewId="0">
      <selection activeCell="S5" sqref="S5"/>
    </sheetView>
  </sheetViews>
  <sheetFormatPr defaultRowHeight="12.75" outlineLevelCol="1" x14ac:dyDescent="0.2"/>
  <cols>
    <col min="1" max="2" width="1.5703125" style="2" customWidth="1"/>
    <col min="3" max="3" width="50.140625" style="2" bestFit="1" customWidth="1"/>
    <col min="4" max="8" width="9.140625" style="2" hidden="1" customWidth="1" outlineLevel="1"/>
    <col min="9" max="9" width="8.7109375" style="2" collapsed="1"/>
    <col min="10" max="17" width="9.140625" style="2" bestFit="1" customWidth="1"/>
    <col min="18" max="18" width="9.140625" style="2"/>
    <col min="19" max="19" width="19.42578125" style="2" bestFit="1" customWidth="1"/>
    <col min="20" max="20" width="1.7109375" style="2" customWidth="1"/>
    <col min="21" max="21" width="12.7109375" style="2" bestFit="1" customWidth="1"/>
    <col min="22" max="16381" width="9.140625" style="2"/>
    <col min="16382" max="16383" width="9.140625" style="2" bestFit="1" customWidth="1"/>
    <col min="16384" max="16384" width="9.140625" style="2"/>
  </cols>
  <sheetData>
    <row r="1" spans="3:33" x14ac:dyDescent="0.2">
      <c r="I1" s="166">
        <v>2024</v>
      </c>
      <c r="J1" s="57">
        <f t="shared" ref="J1:Q1" si="0">I1+1</f>
        <v>2025</v>
      </c>
      <c r="K1" s="57">
        <f t="shared" si="0"/>
        <v>2026</v>
      </c>
      <c r="L1" s="57">
        <f t="shared" si="0"/>
        <v>2027</v>
      </c>
      <c r="M1" s="57">
        <f t="shared" si="0"/>
        <v>2028</v>
      </c>
      <c r="N1" s="57">
        <f t="shared" si="0"/>
        <v>2029</v>
      </c>
      <c r="O1" s="57">
        <f t="shared" si="0"/>
        <v>2030</v>
      </c>
      <c r="P1" s="57">
        <f t="shared" si="0"/>
        <v>2031</v>
      </c>
      <c r="Q1" s="57">
        <f t="shared" si="0"/>
        <v>2032</v>
      </c>
    </row>
    <row r="2" spans="3:33" x14ac:dyDescent="0.2">
      <c r="C2" s="3" t="s">
        <v>276</v>
      </c>
      <c r="D2" s="3"/>
      <c r="E2" s="3"/>
      <c r="F2" s="3"/>
      <c r="G2" s="3"/>
      <c r="H2" s="3"/>
      <c r="I2" s="12"/>
      <c r="J2" s="3"/>
      <c r="K2" s="3"/>
      <c r="L2" s="3"/>
      <c r="M2" s="3"/>
      <c r="N2" s="3"/>
      <c r="O2" s="3"/>
      <c r="P2" s="3"/>
      <c r="Q2" s="3"/>
    </row>
    <row r="3" spans="3:33" ht="5.0999999999999996" customHeight="1" x14ac:dyDescent="0.2">
      <c r="C3" s="2" t="s">
        <v>275</v>
      </c>
      <c r="I3" s="13"/>
      <c r="U3" s="326" t="b">
        <v>1</v>
      </c>
      <c r="V3" s="326" t="b">
        <v>0</v>
      </c>
    </row>
    <row r="4" spans="3:33" x14ac:dyDescent="0.2">
      <c r="C4" s="55" t="s">
        <v>299</v>
      </c>
      <c r="D4" s="60"/>
      <c r="E4" s="60"/>
      <c r="F4" s="60"/>
      <c r="G4" s="60"/>
      <c r="H4" s="60"/>
      <c r="I4" s="260"/>
      <c r="J4" s="60"/>
      <c r="K4" s="60"/>
      <c r="L4" s="61"/>
      <c r="M4" s="61"/>
      <c r="N4" s="61"/>
      <c r="O4" s="61"/>
      <c r="P4" s="61"/>
      <c r="Q4" s="61"/>
      <c r="S4" s="57" t="s">
        <v>537</v>
      </c>
      <c r="U4" s="57" t="s">
        <v>538</v>
      </c>
    </row>
    <row r="5" spans="3:33" x14ac:dyDescent="0.2">
      <c r="C5" s="18" t="s">
        <v>204</v>
      </c>
      <c r="D5" s="18"/>
      <c r="E5" s="18"/>
      <c r="F5" s="18"/>
      <c r="G5" s="18"/>
      <c r="H5" s="18"/>
      <c r="I5" s="13"/>
      <c r="J5" s="50">
        <f>BS!I6</f>
        <v>555.1</v>
      </c>
      <c r="K5" s="50">
        <f ca="1">BS!J6</f>
        <v>388.58455277710152</v>
      </c>
      <c r="L5" s="50">
        <f ca="1">BS!K6</f>
        <v>374.6266684601635</v>
      </c>
      <c r="M5" s="50">
        <f ca="1">BS!L6</f>
        <v>526.20949641022753</v>
      </c>
      <c r="N5" s="50">
        <f ca="1">BS!M6</f>
        <v>824.84174401327834</v>
      </c>
      <c r="O5" s="50">
        <f ca="1">BS!N6</f>
        <v>1080.7473845695963</v>
      </c>
      <c r="P5" s="50">
        <f ca="1">BS!O6</f>
        <v>1306.8720427968046</v>
      </c>
      <c r="Q5" s="50">
        <f ca="1">BS!P6</f>
        <v>1479.0295103240746</v>
      </c>
      <c r="S5" s="432" t="b">
        <v>1</v>
      </c>
      <c r="U5" s="327" t="str">
        <f>IF(SUM(J22:Q22)&gt;0,"Yes","No")</f>
        <v>No</v>
      </c>
      <c r="Z5" s="332"/>
      <c r="AA5" s="332"/>
      <c r="AB5" s="332"/>
      <c r="AC5" s="332"/>
      <c r="AD5" s="332"/>
      <c r="AE5" s="332"/>
      <c r="AF5" s="332"/>
      <c r="AG5" s="332"/>
    </row>
    <row r="6" spans="3:33" x14ac:dyDescent="0.2">
      <c r="C6" s="261" t="s">
        <v>377</v>
      </c>
      <c r="D6" s="261"/>
      <c r="E6" s="261"/>
      <c r="F6" s="261"/>
      <c r="G6" s="261"/>
      <c r="H6" s="261"/>
      <c r="I6" s="28"/>
      <c r="J6" s="50">
        <f ca="1">CFS!J23</f>
        <v>464.61591546001853</v>
      </c>
      <c r="K6" s="50">
        <f ca="1">CFS!K23</f>
        <v>639.34620775180247</v>
      </c>
      <c r="L6" s="50">
        <f ca="1">CFS!L23</f>
        <v>612.69671893690224</v>
      </c>
      <c r="M6" s="50">
        <f ca="1">CFS!M23</f>
        <v>738.95470723582594</v>
      </c>
      <c r="N6" s="50">
        <f ca="1">CFS!N23</f>
        <v>683.14872520933534</v>
      </c>
      <c r="O6" s="50">
        <f ca="1">CFS!O23</f>
        <v>639.99045977477317</v>
      </c>
      <c r="P6" s="50">
        <f ca="1">CFS!P23</f>
        <v>570.26241128829827</v>
      </c>
      <c r="Q6" s="50">
        <f ca="1">CFS!Q23</f>
        <v>542.01466848664188</v>
      </c>
      <c r="Z6" s="6"/>
      <c r="AA6" s="6"/>
      <c r="AB6" s="6"/>
      <c r="AC6" s="6"/>
      <c r="AD6" s="6"/>
      <c r="AE6" s="6"/>
      <c r="AF6" s="6"/>
      <c r="AG6" s="6"/>
    </row>
    <row r="7" spans="3:33" x14ac:dyDescent="0.2">
      <c r="C7" s="261" t="s">
        <v>378</v>
      </c>
      <c r="D7" s="261"/>
      <c r="E7" s="261"/>
      <c r="F7" s="261"/>
      <c r="G7" s="261"/>
      <c r="H7" s="261"/>
      <c r="I7" s="28"/>
      <c r="J7" s="50">
        <f>CFS!J34</f>
        <v>176.15539639790973</v>
      </c>
      <c r="K7" s="50">
        <f>CFS!K34</f>
        <v>-113.5664385421174</v>
      </c>
      <c r="L7" s="50">
        <f>CFS!L34</f>
        <v>-159.69337522752588</v>
      </c>
      <c r="M7" s="50">
        <f>CFS!M34</f>
        <v>-153.82973756973789</v>
      </c>
      <c r="N7" s="50">
        <f>CFS!N34</f>
        <v>-155.67815628625513</v>
      </c>
      <c r="O7" s="50">
        <f>CFS!O34</f>
        <v>-157.22866687707764</v>
      </c>
      <c r="P7" s="50">
        <f>CFS!P34</f>
        <v>-156.39560278681634</v>
      </c>
      <c r="Q7" s="50">
        <f>CFS!Q34</f>
        <v>-155.08177306097761</v>
      </c>
    </row>
    <row r="8" spans="3:33" x14ac:dyDescent="0.2">
      <c r="C8" s="261" t="s">
        <v>379</v>
      </c>
      <c r="D8" s="261"/>
      <c r="E8" s="261"/>
      <c r="F8" s="261"/>
      <c r="G8" s="261"/>
      <c r="H8" s="261"/>
      <c r="I8" s="28"/>
      <c r="J8" s="179">
        <f t="shared" ref="J8:Q8" si="1">J48+J28+J38</f>
        <v>-655.23</v>
      </c>
      <c r="K8" s="179">
        <f t="shared" ca="1" si="1"/>
        <v>-165.83</v>
      </c>
      <c r="L8" s="179">
        <f t="shared" ca="1" si="1"/>
        <v>-127.64000000000001</v>
      </c>
      <c r="M8" s="179">
        <f t="shared" ca="1" si="1"/>
        <v>-127.64000000000001</v>
      </c>
      <c r="N8" s="179">
        <f t="shared" ca="1" si="1"/>
        <v>-127.64000000000001</v>
      </c>
      <c r="O8" s="179">
        <f t="shared" ca="1" si="1"/>
        <v>-127.64000000000001</v>
      </c>
      <c r="P8" s="179">
        <f t="shared" ca="1" si="1"/>
        <v>-127.64000000000001</v>
      </c>
      <c r="Q8" s="179">
        <f t="shared" ca="1" si="1"/>
        <v>-382.92000000000007</v>
      </c>
    </row>
    <row r="9" spans="3:33" x14ac:dyDescent="0.2">
      <c r="C9" s="261" t="s">
        <v>534</v>
      </c>
      <c r="D9" s="261"/>
      <c r="E9" s="261"/>
      <c r="F9" s="261"/>
      <c r="G9" s="261"/>
      <c r="H9" s="261"/>
      <c r="I9" s="28"/>
      <c r="J9" s="50">
        <f>-'Forecast Assumptions'!$D$7</f>
        <v>-300</v>
      </c>
      <c r="K9" s="50">
        <f>-'Forecast Assumptions'!$D$7</f>
        <v>-300</v>
      </c>
      <c r="L9" s="50">
        <f>-'Forecast Assumptions'!$D$7</f>
        <v>-300</v>
      </c>
      <c r="M9" s="50">
        <f>-'Forecast Assumptions'!$D$7</f>
        <v>-300</v>
      </c>
      <c r="N9" s="50">
        <f>-'Forecast Assumptions'!$D$7</f>
        <v>-300</v>
      </c>
      <c r="O9" s="50">
        <f>-'Forecast Assumptions'!$D$7</f>
        <v>-300</v>
      </c>
      <c r="P9" s="50">
        <f>-'Forecast Assumptions'!$D$7</f>
        <v>-300</v>
      </c>
      <c r="Q9" s="50">
        <f>-'Forecast Assumptions'!$D$7</f>
        <v>-300</v>
      </c>
    </row>
    <row r="10" spans="3:33" x14ac:dyDescent="0.2">
      <c r="C10" s="18" t="s">
        <v>311</v>
      </c>
      <c r="D10" s="18"/>
      <c r="E10" s="18"/>
      <c r="F10" s="18"/>
      <c r="G10" s="18"/>
      <c r="H10" s="18"/>
      <c r="I10" s="28"/>
      <c r="J10" s="180">
        <f ca="1">SUM(J5:J9)</f>
        <v>240.64131185792826</v>
      </c>
      <c r="K10" s="180">
        <f t="shared" ref="K10:Q10" ca="1" si="2">SUM(K5:K9)</f>
        <v>448.53432198678672</v>
      </c>
      <c r="L10" s="180">
        <f t="shared" ca="1" si="2"/>
        <v>399.99001216953991</v>
      </c>
      <c r="M10" s="180">
        <f t="shared" ca="1" si="2"/>
        <v>683.69446607631551</v>
      </c>
      <c r="N10" s="180">
        <f t="shared" ca="1" si="2"/>
        <v>924.67231293635837</v>
      </c>
      <c r="O10" s="180">
        <f t="shared" ca="1" si="2"/>
        <v>1135.8691774672918</v>
      </c>
      <c r="P10" s="180">
        <f t="shared" ca="1" si="2"/>
        <v>1293.0988512982863</v>
      </c>
      <c r="Q10" s="180">
        <f t="shared" ca="1" si="2"/>
        <v>1183.0424057497387</v>
      </c>
    </row>
    <row r="11" spans="3:33" x14ac:dyDescent="0.2">
      <c r="I11" s="28"/>
      <c r="J11" s="6"/>
      <c r="K11" s="6"/>
      <c r="L11" s="6"/>
      <c r="M11" s="6"/>
      <c r="N11" s="6"/>
      <c r="O11" s="6"/>
      <c r="P11" s="6"/>
      <c r="Q11" s="6"/>
    </row>
    <row r="12" spans="3:33" x14ac:dyDescent="0.2">
      <c r="C12" s="172" t="s">
        <v>205</v>
      </c>
      <c r="D12" s="172"/>
      <c r="E12" s="172"/>
      <c r="F12" s="172"/>
      <c r="G12" s="172"/>
      <c r="H12" s="172"/>
      <c r="I12" s="28"/>
      <c r="J12" s="196">
        <f ca="1">J10</f>
        <v>240.64131185792826</v>
      </c>
      <c r="K12" s="196">
        <f t="shared" ref="K12:Q12" ca="1" si="3">K10</f>
        <v>448.53432198678672</v>
      </c>
      <c r="L12" s="196">
        <f t="shared" ca="1" si="3"/>
        <v>399.99001216953991</v>
      </c>
      <c r="M12" s="196">
        <f t="shared" ca="1" si="3"/>
        <v>683.69446607631551</v>
      </c>
      <c r="N12" s="196">
        <f t="shared" ca="1" si="3"/>
        <v>924.67231293635837</v>
      </c>
      <c r="O12" s="196">
        <f t="shared" ca="1" si="3"/>
        <v>1135.8691774672918</v>
      </c>
      <c r="P12" s="196">
        <f t="shared" ca="1" si="3"/>
        <v>1293.0988512982863</v>
      </c>
      <c r="Q12" s="196">
        <f t="shared" ca="1" si="3"/>
        <v>1183.0424057497387</v>
      </c>
    </row>
    <row r="13" spans="3:33" x14ac:dyDescent="0.2">
      <c r="C13" s="172"/>
      <c r="D13" s="172"/>
      <c r="E13" s="172"/>
      <c r="F13" s="172"/>
      <c r="G13" s="172"/>
      <c r="H13" s="172"/>
      <c r="I13" s="28"/>
      <c r="J13" s="47"/>
      <c r="K13" s="47"/>
      <c r="L13" s="47"/>
      <c r="M13" s="47"/>
      <c r="N13" s="47"/>
      <c r="O13" s="47"/>
      <c r="P13" s="47"/>
      <c r="Q13" s="47"/>
    </row>
    <row r="14" spans="3:33" ht="13.5" thickBot="1" x14ac:dyDescent="0.25">
      <c r="C14" s="262" t="s">
        <v>206</v>
      </c>
      <c r="D14" s="262"/>
      <c r="E14" s="262"/>
      <c r="F14" s="262"/>
      <c r="G14" s="262"/>
      <c r="H14" s="262"/>
      <c r="I14" s="28"/>
      <c r="J14" s="6"/>
      <c r="K14" s="6"/>
      <c r="L14" s="6"/>
      <c r="M14" s="6"/>
      <c r="N14" s="6"/>
      <c r="O14" s="6"/>
      <c r="P14" s="6"/>
      <c r="Q14" s="6"/>
    </row>
    <row r="15" spans="3:33" x14ac:dyDescent="0.2">
      <c r="C15" s="2" t="s">
        <v>207</v>
      </c>
      <c r="I15" s="263"/>
      <c r="J15" s="179">
        <f t="shared" ref="J15" si="4">I18</f>
        <v>150</v>
      </c>
      <c r="K15" s="19">
        <v>0</v>
      </c>
      <c r="L15" s="179">
        <f t="shared" ref="L15:Q20" si="5">K15</f>
        <v>0</v>
      </c>
      <c r="M15" s="179">
        <f t="shared" si="5"/>
        <v>0</v>
      </c>
      <c r="N15" s="179">
        <f t="shared" si="5"/>
        <v>0</v>
      </c>
      <c r="O15" s="179">
        <f t="shared" si="5"/>
        <v>0</v>
      </c>
      <c r="P15" s="179">
        <f t="shared" si="5"/>
        <v>0</v>
      </c>
      <c r="Q15" s="179">
        <f t="shared" si="5"/>
        <v>0</v>
      </c>
    </row>
    <row r="16" spans="3:33" x14ac:dyDescent="0.2">
      <c r="C16" s="261" t="s">
        <v>208</v>
      </c>
      <c r="D16" s="261"/>
      <c r="E16" s="261"/>
      <c r="F16" s="261"/>
      <c r="G16" s="261"/>
      <c r="H16" s="261"/>
      <c r="I16" s="263"/>
      <c r="J16" s="50">
        <f>IF(J1='Maturity Schedule'!$I$8,-'Debt Schedule'!J15,-MIN('Debt Schedule'!J15,'Maturity Schedule'!J8*'Maturity Schedule'!E8))</f>
        <v>-150</v>
      </c>
      <c r="K16" s="19">
        <v>0</v>
      </c>
      <c r="L16" s="179">
        <f t="shared" si="5"/>
        <v>0</v>
      </c>
      <c r="M16" s="179">
        <f t="shared" si="5"/>
        <v>0</v>
      </c>
      <c r="N16" s="179">
        <f t="shared" si="5"/>
        <v>0</v>
      </c>
      <c r="O16" s="179">
        <f t="shared" si="5"/>
        <v>0</v>
      </c>
      <c r="P16" s="179">
        <f t="shared" si="5"/>
        <v>0</v>
      </c>
      <c r="Q16" s="179">
        <f t="shared" si="5"/>
        <v>0</v>
      </c>
    </row>
    <row r="17" spans="3:21" x14ac:dyDescent="0.2">
      <c r="C17" s="261" t="s">
        <v>209</v>
      </c>
      <c r="D17" s="261"/>
      <c r="E17" s="261"/>
      <c r="F17" s="261"/>
      <c r="G17" s="261"/>
      <c r="H17" s="261"/>
      <c r="I17" s="263"/>
      <c r="J17" s="50">
        <f ca="1">IF(J12&gt;0,-MIN(J15+J16,J12*'Maturity Schedule'!$K$8),-'Debt Schedule'!J12)</f>
        <v>0</v>
      </c>
      <c r="K17" s="19">
        <v>0</v>
      </c>
      <c r="L17" s="179">
        <f t="shared" si="5"/>
        <v>0</v>
      </c>
      <c r="M17" s="179">
        <f t="shared" si="5"/>
        <v>0</v>
      </c>
      <c r="N17" s="179">
        <f t="shared" si="5"/>
        <v>0</v>
      </c>
      <c r="O17" s="179">
        <f t="shared" si="5"/>
        <v>0</v>
      </c>
      <c r="P17" s="179">
        <f t="shared" si="5"/>
        <v>0</v>
      </c>
      <c r="Q17" s="179">
        <f t="shared" si="5"/>
        <v>0</v>
      </c>
    </row>
    <row r="18" spans="3:21" x14ac:dyDescent="0.2">
      <c r="C18" s="2" t="s">
        <v>210</v>
      </c>
      <c r="I18" s="264">
        <f>'Maturity Schedule'!E8</f>
        <v>150</v>
      </c>
      <c r="J18" s="180">
        <f t="shared" ref="J18" ca="1" si="6">SUM(J15:J17)</f>
        <v>0</v>
      </c>
      <c r="K18" s="433">
        <v>0</v>
      </c>
      <c r="L18" s="183">
        <f t="shared" si="5"/>
        <v>0</v>
      </c>
      <c r="M18" s="183">
        <f t="shared" si="5"/>
        <v>0</v>
      </c>
      <c r="N18" s="183">
        <f t="shared" si="5"/>
        <v>0</v>
      </c>
      <c r="O18" s="183">
        <f t="shared" si="5"/>
        <v>0</v>
      </c>
      <c r="P18" s="183">
        <f t="shared" si="5"/>
        <v>0</v>
      </c>
      <c r="Q18" s="183">
        <f t="shared" si="5"/>
        <v>0</v>
      </c>
    </row>
    <row r="19" spans="3:21" x14ac:dyDescent="0.2">
      <c r="C19" s="2" t="s">
        <v>211</v>
      </c>
      <c r="I19" s="263"/>
      <c r="J19" s="214">
        <f>'Maturity Schedule'!$G$7</f>
        <v>0.1</v>
      </c>
      <c r="K19" s="125">
        <v>0</v>
      </c>
      <c r="L19" s="179">
        <f t="shared" si="5"/>
        <v>0</v>
      </c>
      <c r="M19" s="179">
        <f t="shared" si="5"/>
        <v>0</v>
      </c>
      <c r="N19" s="179">
        <f t="shared" si="5"/>
        <v>0</v>
      </c>
      <c r="O19" s="179">
        <f t="shared" si="5"/>
        <v>0</v>
      </c>
      <c r="P19" s="179">
        <f t="shared" si="5"/>
        <v>0</v>
      </c>
      <c r="Q19" s="179">
        <f t="shared" si="5"/>
        <v>0</v>
      </c>
      <c r="U19" s="331"/>
    </row>
    <row r="20" spans="3:21" x14ac:dyDescent="0.2">
      <c r="C20" s="2" t="s">
        <v>212</v>
      </c>
      <c r="I20" s="263"/>
      <c r="J20" s="179">
        <f t="shared" ref="J20" ca="1" si="7">J19*AVERAGE(I18:J18)</f>
        <v>7.5</v>
      </c>
      <c r="K20" s="19">
        <v>0</v>
      </c>
      <c r="L20" s="179">
        <f t="shared" si="5"/>
        <v>0</v>
      </c>
      <c r="M20" s="179">
        <f t="shared" si="5"/>
        <v>0</v>
      </c>
      <c r="N20" s="179">
        <f t="shared" si="5"/>
        <v>0</v>
      </c>
      <c r="O20" s="179">
        <f t="shared" si="5"/>
        <v>0</v>
      </c>
      <c r="P20" s="179">
        <f t="shared" si="5"/>
        <v>0</v>
      </c>
      <c r="Q20" s="179">
        <f t="shared" si="5"/>
        <v>0</v>
      </c>
    </row>
    <row r="21" spans="3:21" x14ac:dyDescent="0.2">
      <c r="I21" s="28"/>
      <c r="J21" s="6"/>
      <c r="K21" s="6"/>
      <c r="L21" s="6"/>
      <c r="M21" s="6"/>
      <c r="N21" s="6"/>
      <c r="O21" s="6"/>
      <c r="P21" s="6"/>
      <c r="Q21" s="6"/>
    </row>
    <row r="22" spans="3:21" x14ac:dyDescent="0.2">
      <c r="C22" s="328" t="s">
        <v>531</v>
      </c>
      <c r="D22" s="328"/>
      <c r="E22" s="328"/>
      <c r="F22" s="328"/>
      <c r="G22" s="328"/>
      <c r="H22" s="328"/>
      <c r="I22" s="329"/>
      <c r="J22" s="330" t="str">
        <f>IF($S$5=TRUE," ",IF(J12&gt;=0,0,-J12))</f>
        <v xml:space="preserve"> </v>
      </c>
      <c r="K22" s="329" t="str">
        <f t="shared" ref="K22:Q22" si="8">IF($S$5=TRUE," ",IF(K12&gt;=0,0,-K12))</f>
        <v xml:space="preserve"> </v>
      </c>
      <c r="L22" s="329" t="str">
        <f t="shared" si="8"/>
        <v xml:space="preserve"> </v>
      </c>
      <c r="M22" s="329" t="str">
        <f t="shared" si="8"/>
        <v xml:space="preserve"> </v>
      </c>
      <c r="N22" s="329" t="str">
        <f t="shared" si="8"/>
        <v xml:space="preserve"> </v>
      </c>
      <c r="O22" s="329" t="str">
        <f t="shared" si="8"/>
        <v xml:space="preserve"> </v>
      </c>
      <c r="P22" s="329" t="str">
        <f t="shared" si="8"/>
        <v xml:space="preserve"> </v>
      </c>
      <c r="Q22" s="329" t="str">
        <f t="shared" si="8"/>
        <v xml:space="preserve"> </v>
      </c>
    </row>
    <row r="23" spans="3:21" x14ac:dyDescent="0.2">
      <c r="C23" s="18"/>
      <c r="D23" s="18"/>
      <c r="E23" s="18"/>
      <c r="F23" s="18"/>
      <c r="G23" s="18"/>
      <c r="H23" s="18"/>
      <c r="I23" s="48"/>
      <c r="J23" s="47"/>
      <c r="K23" s="47"/>
      <c r="L23" s="47"/>
      <c r="M23" s="47"/>
      <c r="N23" s="47"/>
      <c r="O23" s="47"/>
      <c r="P23" s="47"/>
      <c r="Q23" s="47"/>
    </row>
    <row r="24" spans="3:21" x14ac:dyDescent="0.2">
      <c r="C24" s="172" t="s">
        <v>307</v>
      </c>
      <c r="D24" s="172"/>
      <c r="E24" s="172"/>
      <c r="F24" s="172"/>
      <c r="G24" s="172"/>
      <c r="H24" s="172"/>
      <c r="I24" s="28"/>
      <c r="J24" s="196">
        <f t="shared" ref="J24:Q24" ca="1" si="9">IF(J12&gt;0,J12+J17,0)</f>
        <v>240.64131185792826</v>
      </c>
      <c r="K24" s="196">
        <f t="shared" ca="1" si="9"/>
        <v>448.53432198678672</v>
      </c>
      <c r="L24" s="196">
        <f t="shared" ca="1" si="9"/>
        <v>399.99001216953991</v>
      </c>
      <c r="M24" s="196">
        <f t="shared" ca="1" si="9"/>
        <v>683.69446607631551</v>
      </c>
      <c r="N24" s="196">
        <f t="shared" ca="1" si="9"/>
        <v>924.67231293635837</v>
      </c>
      <c r="O24" s="196">
        <f t="shared" ca="1" si="9"/>
        <v>1135.8691774672918</v>
      </c>
      <c r="P24" s="196">
        <f t="shared" ca="1" si="9"/>
        <v>1293.0988512982863</v>
      </c>
      <c r="Q24" s="196">
        <f t="shared" ca="1" si="9"/>
        <v>1183.0424057497387</v>
      </c>
    </row>
    <row r="25" spans="3:21" x14ac:dyDescent="0.2">
      <c r="C25" s="172"/>
      <c r="D25" s="172"/>
      <c r="E25" s="172"/>
      <c r="F25" s="172"/>
      <c r="G25" s="172"/>
      <c r="H25" s="172"/>
      <c r="I25" s="28"/>
      <c r="J25" s="47"/>
      <c r="K25" s="47"/>
      <c r="L25" s="47"/>
      <c r="M25" s="47"/>
      <c r="N25" s="47"/>
      <c r="O25" s="47"/>
      <c r="P25" s="47"/>
      <c r="Q25" s="47"/>
    </row>
    <row r="26" spans="3:21" ht="13.5" thickBot="1" x14ac:dyDescent="0.25">
      <c r="C26" s="262" t="s">
        <v>290</v>
      </c>
      <c r="D26" s="262"/>
      <c r="E26" s="262"/>
      <c r="F26" s="262"/>
      <c r="G26" s="262"/>
      <c r="H26" s="262"/>
      <c r="I26" s="28"/>
      <c r="J26" s="6"/>
      <c r="K26" s="6"/>
      <c r="L26" s="6"/>
      <c r="M26" s="6"/>
      <c r="N26" s="6"/>
      <c r="O26" s="6"/>
      <c r="P26" s="6"/>
      <c r="Q26" s="6"/>
    </row>
    <row r="27" spans="3:21" x14ac:dyDescent="0.2">
      <c r="C27" s="2" t="s">
        <v>207</v>
      </c>
      <c r="I27" s="263"/>
      <c r="J27" s="179">
        <f t="shared" ref="J27:Q27" si="10">I30</f>
        <v>381.9</v>
      </c>
      <c r="K27" s="179">
        <f t="shared" ca="1" si="10"/>
        <v>223.38934407103585</v>
      </c>
      <c r="L27" s="179">
        <f t="shared" ca="1" si="10"/>
        <v>0</v>
      </c>
      <c r="M27" s="179">
        <f t="shared" ca="1" si="10"/>
        <v>0</v>
      </c>
      <c r="N27" s="179">
        <f t="shared" ca="1" si="10"/>
        <v>0</v>
      </c>
      <c r="O27" s="179">
        <f t="shared" ca="1" si="10"/>
        <v>0</v>
      </c>
      <c r="P27" s="179">
        <f t="shared" ca="1" si="10"/>
        <v>0</v>
      </c>
      <c r="Q27" s="179">
        <f t="shared" ca="1" si="10"/>
        <v>0</v>
      </c>
    </row>
    <row r="28" spans="3:21" x14ac:dyDescent="0.2">
      <c r="C28" s="261" t="s">
        <v>208</v>
      </c>
      <c r="D28" s="261"/>
      <c r="E28" s="261"/>
      <c r="F28" s="261"/>
      <c r="G28" s="261"/>
      <c r="H28" s="261"/>
      <c r="I28" s="263"/>
      <c r="J28" s="50">
        <f>IF(J1='Maturity Schedule'!$I$10,-'Debt Schedule'!J27,-MIN('Debt Schedule'!J27,'Maturity Schedule'!$J$10*'Maturity Schedule'!$E$10))</f>
        <v>-38.19</v>
      </c>
      <c r="K28" s="50">
        <f ca="1">IF(K1='Maturity Schedule'!$I$10,-'Debt Schedule'!K27,-MIN('Debt Schedule'!K27,'Maturity Schedule'!$J$10*'Maturity Schedule'!$E$10))</f>
        <v>-38.19</v>
      </c>
      <c r="L28" s="50">
        <f ca="1">IF(L1='Maturity Schedule'!$I$10,-'Debt Schedule'!L27,-MIN('Debt Schedule'!L27,'Maturity Schedule'!$J$10*'Maturity Schedule'!$E$10))</f>
        <v>0</v>
      </c>
      <c r="M28" s="50">
        <f ca="1">IF(M1='Maturity Schedule'!$I$10,-'Debt Schedule'!M27,-MIN('Debt Schedule'!M27,'Maturity Schedule'!$J$10*'Maturity Schedule'!$E$10))</f>
        <v>0</v>
      </c>
      <c r="N28" s="50">
        <f ca="1">IF(N1='Maturity Schedule'!$I$10,-'Debt Schedule'!N27,-MIN('Debt Schedule'!N27,'Maturity Schedule'!$J$10*'Maturity Schedule'!$E$10))</f>
        <v>0</v>
      </c>
      <c r="O28" s="50">
        <f ca="1">IF(O1='Maturity Schedule'!$I$10,-'Debt Schedule'!O27,-MIN('Debt Schedule'!O27,'Maturity Schedule'!$J$10*'Maturity Schedule'!$E$10))</f>
        <v>0</v>
      </c>
      <c r="P28" s="50">
        <f ca="1">IF(P1='Maturity Schedule'!$I$10,-'Debt Schedule'!P27,-MIN('Debt Schedule'!P27,'Maturity Schedule'!$J$10*'Maturity Schedule'!$E$10))</f>
        <v>0</v>
      </c>
      <c r="Q28" s="50">
        <f ca="1">IF(Q1='Maturity Schedule'!$I$10,-'Debt Schedule'!Q27,-MIN('Debt Schedule'!Q27,'Maturity Schedule'!$J$10*'Maturity Schedule'!$E$10))</f>
        <v>0</v>
      </c>
    </row>
    <row r="29" spans="3:21" x14ac:dyDescent="0.2">
      <c r="C29" s="261" t="s">
        <v>209</v>
      </c>
      <c r="D29" s="261"/>
      <c r="E29" s="261"/>
      <c r="F29" s="261"/>
      <c r="G29" s="261"/>
      <c r="H29" s="261"/>
      <c r="I29" s="263"/>
      <c r="J29" s="50">
        <f ca="1">IF(J24&gt;0,-MIN(J27+J28,J24*'Maturity Schedule'!$K$10),-J24)</f>
        <v>-120.32065592896413</v>
      </c>
      <c r="K29" s="50">
        <f ca="1">IF(K24&gt;0,-MIN(K27+K28,K24*'Maturity Schedule'!$K$10),-K24)</f>
        <v>-185.19934407103585</v>
      </c>
      <c r="L29" s="50">
        <f ca="1">IF(L24&gt;0,-MIN(L27+L28,L24*'Maturity Schedule'!$K$10),-L24)</f>
        <v>0</v>
      </c>
      <c r="M29" s="50">
        <f ca="1">IF(M24&gt;0,-MIN(M27+M28,M24*'Maturity Schedule'!$K$10),-M24)</f>
        <v>0</v>
      </c>
      <c r="N29" s="50">
        <f ca="1">IF(N24&gt;0,-MIN(N27+N28,N24*'Maturity Schedule'!$K$10),-N24)</f>
        <v>0</v>
      </c>
      <c r="O29" s="50">
        <f ca="1">IF(O24&gt;0,-MIN(O27+O28,O24*'Maturity Schedule'!$K$10),-O24)</f>
        <v>0</v>
      </c>
      <c r="P29" s="50">
        <f ca="1">IF(P24&gt;0,-MIN(P27+P28,P24*'Maturity Schedule'!$K$10),-P24)</f>
        <v>0</v>
      </c>
      <c r="Q29" s="50">
        <f ca="1">IF(Q24&gt;0,-MIN(Q27+Q28,Q24*'Maturity Schedule'!$K$10),-Q24)</f>
        <v>0</v>
      </c>
    </row>
    <row r="30" spans="3:21" x14ac:dyDescent="0.2">
      <c r="C30" s="2" t="s">
        <v>210</v>
      </c>
      <c r="I30" s="264">
        <f>'Maturity Schedule'!E10</f>
        <v>381.9</v>
      </c>
      <c r="J30" s="180">
        <f t="shared" ref="J30:Q30" ca="1" si="11">SUM(J27:J29)</f>
        <v>223.38934407103585</v>
      </c>
      <c r="K30" s="180">
        <f t="shared" ca="1" si="11"/>
        <v>0</v>
      </c>
      <c r="L30" s="180">
        <f t="shared" ca="1" si="11"/>
        <v>0</v>
      </c>
      <c r="M30" s="180">
        <f t="shared" ca="1" si="11"/>
        <v>0</v>
      </c>
      <c r="N30" s="180">
        <f t="shared" ca="1" si="11"/>
        <v>0</v>
      </c>
      <c r="O30" s="180">
        <f t="shared" ca="1" si="11"/>
        <v>0</v>
      </c>
      <c r="P30" s="180">
        <f t="shared" ca="1" si="11"/>
        <v>0</v>
      </c>
      <c r="Q30" s="180">
        <f t="shared" ca="1" si="11"/>
        <v>0</v>
      </c>
    </row>
    <row r="31" spans="3:21" x14ac:dyDescent="0.2">
      <c r="C31" s="2" t="s">
        <v>211</v>
      </c>
      <c r="I31" s="263"/>
      <c r="J31" s="214">
        <f>'Maturity Schedule'!$G$10+'Maturity Schedule'!Q6</f>
        <v>0.19490000000000002</v>
      </c>
      <c r="K31" s="214">
        <f>'Maturity Schedule'!$G$10+'Maturity Schedule'!R6</f>
        <v>0.18890000000000001</v>
      </c>
      <c r="L31" s="214">
        <f>'Maturity Schedule'!$G$10+'Maturity Schedule'!S6</f>
        <v>0.19009999999999999</v>
      </c>
      <c r="M31" s="214">
        <f>'Maturity Schedule'!$G$10+'Maturity Schedule'!T6</f>
        <v>0.1915</v>
      </c>
      <c r="N31" s="214">
        <f>'Maturity Schedule'!$G$10+'Maturity Schedule'!U6</f>
        <v>0.19290000000000002</v>
      </c>
      <c r="O31" s="214">
        <f>'Maturity Schedule'!$G$10+'Maturity Schedule'!V6</f>
        <v>0.1946</v>
      </c>
      <c r="P31" s="214">
        <f>'Maturity Schedule'!$G$10+'Maturity Schedule'!W6</f>
        <v>0.1961</v>
      </c>
      <c r="Q31" s="214">
        <f>'Maturity Schedule'!$G$10+'Maturity Schedule'!X6</f>
        <v>0.19739999999999999</v>
      </c>
    </row>
    <row r="32" spans="3:21" x14ac:dyDescent="0.2">
      <c r="C32" s="2" t="s">
        <v>212</v>
      </c>
      <c r="I32" s="263"/>
      <c r="J32" s="179">
        <f t="shared" ref="J32:Q32" ca="1" si="12">J31*AVERAGE(I30:J30)</f>
        <v>58.985446579722449</v>
      </c>
      <c r="K32" s="179">
        <f t="shared" ca="1" si="12"/>
        <v>21.099123547509336</v>
      </c>
      <c r="L32" s="179">
        <f t="shared" ca="1" si="12"/>
        <v>0</v>
      </c>
      <c r="M32" s="179">
        <f t="shared" ca="1" si="12"/>
        <v>0</v>
      </c>
      <c r="N32" s="179">
        <f t="shared" ca="1" si="12"/>
        <v>0</v>
      </c>
      <c r="O32" s="179">
        <f t="shared" ca="1" si="12"/>
        <v>0</v>
      </c>
      <c r="P32" s="179">
        <f t="shared" ca="1" si="12"/>
        <v>0</v>
      </c>
      <c r="Q32" s="179">
        <f t="shared" ca="1" si="12"/>
        <v>0</v>
      </c>
    </row>
    <row r="33" spans="3:17" x14ac:dyDescent="0.2">
      <c r="I33" s="28"/>
      <c r="J33" s="6"/>
      <c r="K33" s="6"/>
      <c r="L33" s="6"/>
      <c r="M33" s="6"/>
      <c r="N33" s="6"/>
      <c r="O33" s="6"/>
      <c r="P33" s="6"/>
      <c r="Q33" s="6"/>
    </row>
    <row r="34" spans="3:17" x14ac:dyDescent="0.2">
      <c r="C34" s="172" t="s">
        <v>306</v>
      </c>
      <c r="D34" s="172"/>
      <c r="E34" s="172"/>
      <c r="F34" s="172"/>
      <c r="G34" s="172"/>
      <c r="H34" s="172"/>
      <c r="I34" s="28"/>
      <c r="J34" s="196">
        <f t="shared" ref="J34:Q34" ca="1" si="13">IF(J24&gt;0,J24+J29,0)</f>
        <v>120.32065592896413</v>
      </c>
      <c r="K34" s="196">
        <f t="shared" ca="1" si="13"/>
        <v>263.33497791575087</v>
      </c>
      <c r="L34" s="196">
        <f t="shared" ca="1" si="13"/>
        <v>399.99001216953991</v>
      </c>
      <c r="M34" s="196">
        <f t="shared" ca="1" si="13"/>
        <v>683.69446607631551</v>
      </c>
      <c r="N34" s="196">
        <f t="shared" ca="1" si="13"/>
        <v>924.67231293635837</v>
      </c>
      <c r="O34" s="196">
        <f t="shared" ca="1" si="13"/>
        <v>1135.8691774672918</v>
      </c>
      <c r="P34" s="196">
        <f t="shared" ca="1" si="13"/>
        <v>1293.0988512982863</v>
      </c>
      <c r="Q34" s="196">
        <f t="shared" ca="1" si="13"/>
        <v>1183.0424057497387</v>
      </c>
    </row>
    <row r="35" spans="3:17" x14ac:dyDescent="0.2">
      <c r="I35" s="13"/>
    </row>
    <row r="36" spans="3:17" ht="13.5" thickBot="1" x14ac:dyDescent="0.25">
      <c r="C36" s="262" t="s">
        <v>289</v>
      </c>
      <c r="D36" s="262"/>
      <c r="E36" s="262"/>
      <c r="F36" s="262"/>
      <c r="G36" s="262"/>
      <c r="H36" s="262"/>
      <c r="I36" s="28"/>
      <c r="J36" s="6"/>
      <c r="K36" s="6"/>
      <c r="L36" s="6"/>
      <c r="M36" s="6"/>
      <c r="N36" s="6"/>
      <c r="O36" s="6"/>
      <c r="P36" s="6"/>
      <c r="Q36" s="6"/>
    </row>
    <row r="37" spans="3:17" x14ac:dyDescent="0.2">
      <c r="C37" s="2" t="s">
        <v>207</v>
      </c>
      <c r="I37" s="263"/>
      <c r="J37" s="179">
        <f t="shared" ref="J37:Q37" si="14">I40</f>
        <v>489.4</v>
      </c>
      <c r="K37" s="179">
        <f t="shared" ca="1" si="14"/>
        <v>0</v>
      </c>
      <c r="L37" s="179">
        <f t="shared" ca="1" si="14"/>
        <v>0</v>
      </c>
      <c r="M37" s="179">
        <f t="shared" ca="1" si="14"/>
        <v>0</v>
      </c>
      <c r="N37" s="179">
        <f t="shared" ca="1" si="14"/>
        <v>0</v>
      </c>
      <c r="O37" s="179">
        <f t="shared" ca="1" si="14"/>
        <v>0</v>
      </c>
      <c r="P37" s="179">
        <f t="shared" ca="1" si="14"/>
        <v>0</v>
      </c>
      <c r="Q37" s="179">
        <f t="shared" ca="1" si="14"/>
        <v>0</v>
      </c>
    </row>
    <row r="38" spans="3:17" x14ac:dyDescent="0.2">
      <c r="C38" s="261" t="s">
        <v>208</v>
      </c>
      <c r="D38" s="261"/>
      <c r="E38" s="261"/>
      <c r="F38" s="261"/>
      <c r="G38" s="261"/>
      <c r="H38" s="261"/>
      <c r="I38" s="263"/>
      <c r="J38" s="50">
        <f>IF(J1='Maturity Schedule'!$I$9,-'Debt Schedule'!J37,-MIN('Debt Schedule'!J37,'Maturity Schedule'!J9*'Maturity Schedule'!E9))</f>
        <v>-489.4</v>
      </c>
      <c r="K38" s="50">
        <f ca="1">IF(K1='Maturity Schedule'!$I$9,-'Debt Schedule'!K37,-MIN('Debt Schedule'!K37,'Maturity Schedule'!K9*'Maturity Schedule'!F9))</f>
        <v>0</v>
      </c>
      <c r="L38" s="50">
        <f ca="1">IF(L1='Maturity Schedule'!$I$9,-'Debt Schedule'!L37,-MIN('Debt Schedule'!L37,'Maturity Schedule'!L9*'Maturity Schedule'!G9))</f>
        <v>0</v>
      </c>
      <c r="M38" s="50">
        <f ca="1">IF(M1='Maturity Schedule'!$I$9,-'Debt Schedule'!M37,-MIN('Debt Schedule'!M37,'Maturity Schedule'!M9*'Maturity Schedule'!H9))</f>
        <v>0</v>
      </c>
      <c r="N38" s="50">
        <f ca="1">IF(N1='Maturity Schedule'!$I$9,-'Debt Schedule'!N37,-MIN('Debt Schedule'!N37,'Maturity Schedule'!N9*'Maturity Schedule'!I9))</f>
        <v>0</v>
      </c>
      <c r="O38" s="50">
        <f ca="1">IF(O1='Maturity Schedule'!$I$9,-'Debt Schedule'!O37,-MIN('Debt Schedule'!O37,'Maturity Schedule'!O9*'Maturity Schedule'!J9))</f>
        <v>0</v>
      </c>
      <c r="P38" s="50">
        <f ca="1">IF(P1='Maturity Schedule'!$I$9,-'Debt Schedule'!P37,-MIN('Debt Schedule'!P37,'Maturity Schedule'!P9*'Maturity Schedule'!K9))</f>
        <v>0</v>
      </c>
      <c r="Q38" s="50">
        <f ca="1">IF(Q1='Maturity Schedule'!$I$9,-'Debt Schedule'!Q37,-MIN('Debt Schedule'!Q37,'Maturity Schedule'!Q9*'Maturity Schedule'!L9))</f>
        <v>0</v>
      </c>
    </row>
    <row r="39" spans="3:17" x14ac:dyDescent="0.2">
      <c r="C39" s="261" t="s">
        <v>209</v>
      </c>
      <c r="D39" s="261"/>
      <c r="E39" s="261"/>
      <c r="F39" s="261"/>
      <c r="G39" s="261"/>
      <c r="H39" s="261"/>
      <c r="I39" s="263"/>
      <c r="J39" s="50">
        <f ca="1">IF(J34&gt;0,-MIN(J37+J38,J34*'Maturity Schedule'!$K$9),-'Debt Schedule'!J34)</f>
        <v>0</v>
      </c>
      <c r="K39" s="50">
        <f ca="1">IF(K34&gt;0,-MIN(K37+K38,K34*'Maturity Schedule'!$K$9),-'Debt Schedule'!K34)</f>
        <v>0</v>
      </c>
      <c r="L39" s="50">
        <f ca="1">IF(L34&gt;0,-MIN(L37+L38,L34*'Maturity Schedule'!$K$9),-'Debt Schedule'!L34)</f>
        <v>0</v>
      </c>
      <c r="M39" s="50">
        <f ca="1">IF(M34&gt;0,-MIN(M37+M38,M34*'Maturity Schedule'!$K$9),-'Debt Schedule'!M34)</f>
        <v>0</v>
      </c>
      <c r="N39" s="50">
        <f ca="1">IF(N34&gt;0,-MIN(N37+N38,N34*'Maturity Schedule'!$K$9),-'Debt Schedule'!N34)</f>
        <v>0</v>
      </c>
      <c r="O39" s="50">
        <f ca="1">IF(O34&gt;0,-MIN(O37+O38,O34*'Maturity Schedule'!$K$9),-'Debt Schedule'!O34)</f>
        <v>0</v>
      </c>
      <c r="P39" s="50">
        <f ca="1">IF(P34&gt;0,-MIN(P37+P38,P34*'Maturity Schedule'!$K$9),-'Debt Schedule'!P34)</f>
        <v>0</v>
      </c>
      <c r="Q39" s="50">
        <f ca="1">IF(Q34&gt;0,-MIN(Q37+Q38,Q34*'Maturity Schedule'!$K$9),-'Debt Schedule'!Q34)</f>
        <v>0</v>
      </c>
    </row>
    <row r="40" spans="3:17" x14ac:dyDescent="0.2">
      <c r="C40" s="2" t="s">
        <v>210</v>
      </c>
      <c r="I40" s="264">
        <f>'Maturity Schedule'!E9</f>
        <v>489.4</v>
      </c>
      <c r="J40" s="180">
        <f t="shared" ref="J40:Q40" ca="1" si="15">SUM(J37:J39)</f>
        <v>0</v>
      </c>
      <c r="K40" s="180">
        <f t="shared" ca="1" si="15"/>
        <v>0</v>
      </c>
      <c r="L40" s="180">
        <f t="shared" ca="1" si="15"/>
        <v>0</v>
      </c>
      <c r="M40" s="180">
        <f t="shared" ca="1" si="15"/>
        <v>0</v>
      </c>
      <c r="N40" s="180">
        <f t="shared" ca="1" si="15"/>
        <v>0</v>
      </c>
      <c r="O40" s="180">
        <f t="shared" ca="1" si="15"/>
        <v>0</v>
      </c>
      <c r="P40" s="180">
        <f t="shared" ca="1" si="15"/>
        <v>0</v>
      </c>
      <c r="Q40" s="180">
        <f t="shared" ca="1" si="15"/>
        <v>0</v>
      </c>
    </row>
    <row r="41" spans="3:17" x14ac:dyDescent="0.2">
      <c r="C41" s="2" t="s">
        <v>211</v>
      </c>
      <c r="I41" s="263"/>
      <c r="J41" s="214">
        <f>'Maturity Schedule'!$G$9</f>
        <v>7.0000000000000007E-2</v>
      </c>
      <c r="K41" s="214">
        <f>'Maturity Schedule'!$G$9</f>
        <v>7.0000000000000007E-2</v>
      </c>
      <c r="L41" s="214">
        <f>'Maturity Schedule'!$G$9</f>
        <v>7.0000000000000007E-2</v>
      </c>
      <c r="M41" s="214">
        <f>'Maturity Schedule'!$G$9</f>
        <v>7.0000000000000007E-2</v>
      </c>
      <c r="N41" s="214">
        <f>'Maturity Schedule'!$G$9</f>
        <v>7.0000000000000007E-2</v>
      </c>
      <c r="O41" s="214">
        <f>'Maturity Schedule'!$G$9</f>
        <v>7.0000000000000007E-2</v>
      </c>
      <c r="P41" s="214">
        <f>'Maturity Schedule'!$G$9</f>
        <v>7.0000000000000007E-2</v>
      </c>
      <c r="Q41" s="214">
        <f>'Maturity Schedule'!$G$9</f>
        <v>7.0000000000000007E-2</v>
      </c>
    </row>
    <row r="42" spans="3:17" x14ac:dyDescent="0.2">
      <c r="C42" s="2" t="s">
        <v>212</v>
      </c>
      <c r="I42" s="263"/>
      <c r="J42" s="179">
        <f t="shared" ref="J42:Q42" ca="1" si="16">J41*AVERAGE(I40:J40)</f>
        <v>17.129000000000001</v>
      </c>
      <c r="K42" s="179">
        <f t="shared" ca="1" si="16"/>
        <v>0</v>
      </c>
      <c r="L42" s="179">
        <f t="shared" ca="1" si="16"/>
        <v>0</v>
      </c>
      <c r="M42" s="179">
        <f t="shared" ca="1" si="16"/>
        <v>0</v>
      </c>
      <c r="N42" s="179">
        <f t="shared" ca="1" si="16"/>
        <v>0</v>
      </c>
      <c r="O42" s="179">
        <f t="shared" ca="1" si="16"/>
        <v>0</v>
      </c>
      <c r="P42" s="179">
        <f t="shared" ca="1" si="16"/>
        <v>0</v>
      </c>
      <c r="Q42" s="179">
        <f t="shared" ca="1" si="16"/>
        <v>0</v>
      </c>
    </row>
    <row r="43" spans="3:17" x14ac:dyDescent="0.2">
      <c r="I43" s="28"/>
      <c r="J43" s="6"/>
      <c r="K43" s="6"/>
      <c r="L43" s="6"/>
      <c r="M43" s="6"/>
      <c r="N43" s="6"/>
      <c r="O43" s="6"/>
      <c r="P43" s="6"/>
      <c r="Q43" s="6"/>
    </row>
    <row r="44" spans="3:17" x14ac:dyDescent="0.2">
      <c r="C44" s="172" t="s">
        <v>306</v>
      </c>
      <c r="D44" s="172"/>
      <c r="E44" s="172"/>
      <c r="F44" s="172"/>
      <c r="G44" s="172"/>
      <c r="H44" s="172"/>
      <c r="I44" s="28"/>
      <c r="J44" s="196">
        <f t="shared" ref="J44:Q44" ca="1" si="17">IF(J34&gt;0,J34+J39,0)</f>
        <v>120.32065592896413</v>
      </c>
      <c r="K44" s="196">
        <f t="shared" ca="1" si="17"/>
        <v>263.33497791575087</v>
      </c>
      <c r="L44" s="196">
        <f t="shared" ca="1" si="17"/>
        <v>399.99001216953991</v>
      </c>
      <c r="M44" s="196">
        <f t="shared" ca="1" si="17"/>
        <v>683.69446607631551</v>
      </c>
      <c r="N44" s="196">
        <f t="shared" ca="1" si="17"/>
        <v>924.67231293635837</v>
      </c>
      <c r="O44" s="196">
        <f t="shared" ca="1" si="17"/>
        <v>1135.8691774672918</v>
      </c>
      <c r="P44" s="196">
        <f t="shared" ca="1" si="17"/>
        <v>1293.0988512982863</v>
      </c>
      <c r="Q44" s="196">
        <f t="shared" ca="1" si="17"/>
        <v>1183.0424057497387</v>
      </c>
    </row>
    <row r="45" spans="3:17" x14ac:dyDescent="0.2">
      <c r="I45" s="28"/>
      <c r="J45" s="6"/>
      <c r="K45" s="6"/>
      <c r="L45" s="6"/>
      <c r="M45" s="6"/>
      <c r="N45" s="6"/>
      <c r="O45" s="6"/>
      <c r="P45" s="6"/>
      <c r="Q45" s="6"/>
    </row>
    <row r="46" spans="3:17" ht="13.5" thickBot="1" x14ac:dyDescent="0.25">
      <c r="C46" s="262" t="s">
        <v>289</v>
      </c>
      <c r="D46" s="262"/>
      <c r="E46" s="262"/>
      <c r="F46" s="262"/>
      <c r="G46" s="262"/>
      <c r="H46" s="262"/>
      <c r="I46" s="28"/>
      <c r="J46" s="6"/>
      <c r="K46" s="6"/>
      <c r="L46" s="6"/>
      <c r="M46" s="6"/>
      <c r="N46" s="6"/>
      <c r="O46" s="6"/>
      <c r="P46" s="6"/>
      <c r="Q46" s="6"/>
    </row>
    <row r="47" spans="3:17" x14ac:dyDescent="0.2">
      <c r="C47" s="2" t="s">
        <v>207</v>
      </c>
      <c r="I47" s="263"/>
      <c r="J47" s="179">
        <f t="shared" ref="J47:Q47" si="18">I50</f>
        <v>1276.4000000000001</v>
      </c>
      <c r="K47" s="179">
        <f t="shared" ca="1" si="18"/>
        <v>1148.76</v>
      </c>
      <c r="L47" s="179">
        <f t="shared" ca="1" si="18"/>
        <v>1021.12</v>
      </c>
      <c r="M47" s="179">
        <f t="shared" ca="1" si="18"/>
        <v>893.48</v>
      </c>
      <c r="N47" s="179">
        <f t="shared" ca="1" si="18"/>
        <v>765.84</v>
      </c>
      <c r="O47" s="179">
        <f t="shared" ca="1" si="18"/>
        <v>638.20000000000005</v>
      </c>
      <c r="P47" s="179">
        <f t="shared" ca="1" si="18"/>
        <v>510.56000000000006</v>
      </c>
      <c r="Q47" s="179">
        <f t="shared" ca="1" si="18"/>
        <v>382.92000000000007</v>
      </c>
    </row>
    <row r="48" spans="3:17" x14ac:dyDescent="0.2">
      <c r="C48" s="261" t="s">
        <v>208</v>
      </c>
      <c r="D48" s="261"/>
      <c r="E48" s="261"/>
      <c r="F48" s="261"/>
      <c r="G48" s="261"/>
      <c r="H48" s="261"/>
      <c r="I48" s="263"/>
      <c r="J48" s="50">
        <f>IF(J1='Maturity Schedule'!$I$11,-'Debt Schedule'!J47,-MIN('Debt Schedule'!J47,'Maturity Schedule'!$J$11*'Maturity Schedule'!$E$11))</f>
        <v>-127.64000000000001</v>
      </c>
      <c r="K48" s="50">
        <f ca="1">IF(K1='Maturity Schedule'!$I$11,-'Debt Schedule'!K47,-MIN('Debt Schedule'!K47,'Maturity Schedule'!$J$11*'Maturity Schedule'!$E$11))</f>
        <v>-127.64000000000001</v>
      </c>
      <c r="L48" s="50">
        <f ca="1">IF(L1='Maturity Schedule'!$I$11,-'Debt Schedule'!L47,-MIN('Debt Schedule'!L47,'Maturity Schedule'!$J$11*'Maturity Schedule'!$E$11))</f>
        <v>-127.64000000000001</v>
      </c>
      <c r="M48" s="50">
        <f ca="1">IF(M1='Maturity Schedule'!$I$11,-'Debt Schedule'!M47,-MIN('Debt Schedule'!M47,'Maturity Schedule'!$J$11*'Maturity Schedule'!$E$11))</f>
        <v>-127.64000000000001</v>
      </c>
      <c r="N48" s="50">
        <f ca="1">IF(N1='Maturity Schedule'!$I$11,-'Debt Schedule'!N47,-MIN('Debt Schedule'!N47,'Maturity Schedule'!$J$11*'Maturity Schedule'!$E$11))</f>
        <v>-127.64000000000001</v>
      </c>
      <c r="O48" s="50">
        <f ca="1">IF(O1='Maturity Schedule'!$I$11,-'Debt Schedule'!O47,-MIN('Debt Schedule'!O47,'Maturity Schedule'!$J$11*'Maturity Schedule'!$E$11))</f>
        <v>-127.64000000000001</v>
      </c>
      <c r="P48" s="50">
        <f ca="1">IF(P1='Maturity Schedule'!$I$11,-'Debt Schedule'!P47,-MIN('Debt Schedule'!P47,'Maturity Schedule'!$J$11*'Maturity Schedule'!$E$11))</f>
        <v>-127.64000000000001</v>
      </c>
      <c r="Q48" s="50">
        <f ca="1">IF(Q1='Maturity Schedule'!$I$11,-'Debt Schedule'!Q47,-MIN('Debt Schedule'!Q47,'Maturity Schedule'!$J$11*'Maturity Schedule'!$E$11))</f>
        <v>-382.92000000000007</v>
      </c>
    </row>
    <row r="49" spans="3:17" x14ac:dyDescent="0.2">
      <c r="C49" s="261" t="s">
        <v>209</v>
      </c>
      <c r="D49" s="261"/>
      <c r="E49" s="261"/>
      <c r="F49" s="261"/>
      <c r="G49" s="261"/>
      <c r="H49" s="261"/>
      <c r="I49" s="263"/>
      <c r="J49" s="50">
        <f ca="1">IF(J44&gt;0,-MIN(J47+J48,J44*'Maturity Schedule'!$K$11),-'Debt Schedule'!J44)</f>
        <v>0</v>
      </c>
      <c r="K49" s="50">
        <f ca="1">IF(K44&gt;0,-MIN(K47+K48,K44*'Maturity Schedule'!$K$11),-'Debt Schedule'!K44)</f>
        <v>0</v>
      </c>
      <c r="L49" s="50">
        <f ca="1">IF(L44&gt;0,-MIN(L47+L48,L44*'Maturity Schedule'!$K$11),-'Debt Schedule'!L44)</f>
        <v>0</v>
      </c>
      <c r="M49" s="50">
        <f ca="1">IF(M44&gt;0,-MIN(M47+M48,M44*'Maturity Schedule'!$K$11),-'Debt Schedule'!M44)</f>
        <v>0</v>
      </c>
      <c r="N49" s="50">
        <f ca="1">IF(N44&gt;0,-MIN(N47+N48,N44*'Maturity Schedule'!$K$11),-'Debt Schedule'!N44)</f>
        <v>0</v>
      </c>
      <c r="O49" s="50">
        <f ca="1">IF(O44&gt;0,-MIN(O47+O48,O44*'Maturity Schedule'!$K$11),-'Debt Schedule'!O44)</f>
        <v>0</v>
      </c>
      <c r="P49" s="50">
        <f ca="1">IF(P44&gt;0,-MIN(P47+P48,P44*'Maturity Schedule'!$K$11),-'Debt Schedule'!P44)</f>
        <v>0</v>
      </c>
      <c r="Q49" s="50">
        <f ca="1">IF(Q44&gt;0,-MIN(Q47+Q48,Q44*'Maturity Schedule'!$K$11),-'Debt Schedule'!Q44)</f>
        <v>0</v>
      </c>
    </row>
    <row r="50" spans="3:17" x14ac:dyDescent="0.2">
      <c r="C50" s="2" t="s">
        <v>210</v>
      </c>
      <c r="I50" s="264">
        <f>'Maturity Schedule'!E11</f>
        <v>1276.4000000000001</v>
      </c>
      <c r="J50" s="180">
        <f ca="1">SUM(J47:J49)</f>
        <v>1148.76</v>
      </c>
      <c r="K50" s="180">
        <f t="shared" ref="K50:Q50" ca="1" si="19">SUM(K47:K49)</f>
        <v>1021.12</v>
      </c>
      <c r="L50" s="180">
        <f t="shared" ca="1" si="19"/>
        <v>893.48</v>
      </c>
      <c r="M50" s="180">
        <f t="shared" ca="1" si="19"/>
        <v>765.84</v>
      </c>
      <c r="N50" s="180">
        <f t="shared" ca="1" si="19"/>
        <v>638.20000000000005</v>
      </c>
      <c r="O50" s="180">
        <f t="shared" ca="1" si="19"/>
        <v>510.56000000000006</v>
      </c>
      <c r="P50" s="180">
        <f t="shared" ca="1" si="19"/>
        <v>382.92000000000007</v>
      </c>
      <c r="Q50" s="180">
        <f t="shared" ca="1" si="19"/>
        <v>0</v>
      </c>
    </row>
    <row r="51" spans="3:17" x14ac:dyDescent="0.2">
      <c r="C51" s="2" t="s">
        <v>211</v>
      </c>
      <c r="I51" s="263"/>
      <c r="J51" s="214">
        <f>'Maturity Schedule'!$G$7</f>
        <v>0.1</v>
      </c>
      <c r="K51" s="214">
        <f>'Maturity Schedule'!$G$7</f>
        <v>0.1</v>
      </c>
      <c r="L51" s="214">
        <f>'Maturity Schedule'!$G$7</f>
        <v>0.1</v>
      </c>
      <c r="M51" s="214">
        <f>'Maturity Schedule'!$G$7</f>
        <v>0.1</v>
      </c>
      <c r="N51" s="214">
        <f>'Maturity Schedule'!$G$7</f>
        <v>0.1</v>
      </c>
      <c r="O51" s="214">
        <f>'Maturity Schedule'!$G$7</f>
        <v>0.1</v>
      </c>
      <c r="P51" s="214">
        <f>'Maturity Schedule'!$G$7</f>
        <v>0.1</v>
      </c>
      <c r="Q51" s="214">
        <f>'Maturity Schedule'!$G$7</f>
        <v>0.1</v>
      </c>
    </row>
    <row r="52" spans="3:17" x14ac:dyDescent="0.2">
      <c r="C52" s="2" t="s">
        <v>212</v>
      </c>
      <c r="I52" s="263"/>
      <c r="J52" s="179">
        <f t="shared" ref="J52:Q52" ca="1" si="20">J51*AVERAGE(I50:J50)</f>
        <v>121.258</v>
      </c>
      <c r="K52" s="179">
        <f t="shared" ca="1" si="20"/>
        <v>108.49400000000001</v>
      </c>
      <c r="L52" s="179">
        <f t="shared" ca="1" si="20"/>
        <v>95.73</v>
      </c>
      <c r="M52" s="179">
        <f t="shared" ca="1" si="20"/>
        <v>82.966000000000008</v>
      </c>
      <c r="N52" s="179">
        <f t="shared" ca="1" si="20"/>
        <v>70.201999999999998</v>
      </c>
      <c r="O52" s="179">
        <f t="shared" ca="1" si="20"/>
        <v>57.438000000000017</v>
      </c>
      <c r="P52" s="179">
        <f t="shared" ca="1" si="20"/>
        <v>44.674000000000007</v>
      </c>
      <c r="Q52" s="179">
        <f t="shared" ca="1" si="20"/>
        <v>19.146000000000004</v>
      </c>
    </row>
    <row r="53" spans="3:17" x14ac:dyDescent="0.2">
      <c r="I53" s="28"/>
      <c r="J53" s="6"/>
      <c r="K53" s="6"/>
      <c r="L53" s="6"/>
      <c r="M53" s="6"/>
      <c r="N53" s="6"/>
      <c r="O53" s="6"/>
      <c r="P53" s="6"/>
      <c r="Q53" s="6"/>
    </row>
    <row r="54" spans="3:17" x14ac:dyDescent="0.2">
      <c r="C54" s="18" t="s">
        <v>325</v>
      </c>
      <c r="I54" s="263"/>
      <c r="J54" s="179">
        <f t="shared" ref="J54:Q54" ca="1" si="21">J52+J32+J20+J42</f>
        <v>204.87244657972244</v>
      </c>
      <c r="K54" s="179">
        <f t="shared" ca="1" si="21"/>
        <v>129.59312354750935</v>
      </c>
      <c r="L54" s="179">
        <f t="shared" ca="1" si="21"/>
        <v>95.73</v>
      </c>
      <c r="M54" s="179">
        <f t="shared" ca="1" si="21"/>
        <v>82.966000000000008</v>
      </c>
      <c r="N54" s="179">
        <f t="shared" ca="1" si="21"/>
        <v>70.201999999999998</v>
      </c>
      <c r="O54" s="179">
        <f t="shared" ca="1" si="21"/>
        <v>57.438000000000017</v>
      </c>
      <c r="P54" s="179">
        <f t="shared" ca="1" si="21"/>
        <v>44.674000000000007</v>
      </c>
      <c r="Q54" s="179">
        <f t="shared" ca="1" si="21"/>
        <v>19.146000000000004</v>
      </c>
    </row>
    <row r="55" spans="3:17" x14ac:dyDescent="0.2">
      <c r="I55" s="28"/>
      <c r="J55" s="6"/>
      <c r="K55" s="6"/>
      <c r="L55" s="6"/>
      <c r="M55" s="6"/>
      <c r="N55" s="6"/>
      <c r="O55" s="6"/>
      <c r="P55" s="6"/>
      <c r="Q55" s="6"/>
    </row>
    <row r="56" spans="3:17" ht="13.5" thickBot="1" x14ac:dyDescent="0.25">
      <c r="C56" s="262" t="s">
        <v>315</v>
      </c>
      <c r="D56" s="262"/>
      <c r="E56" s="262"/>
      <c r="F56" s="262"/>
      <c r="G56" s="262"/>
      <c r="H56" s="262"/>
      <c r="I56" s="28"/>
      <c r="J56" s="6"/>
      <c r="K56" s="6"/>
      <c r="L56" s="6"/>
      <c r="M56" s="6"/>
      <c r="N56" s="6"/>
      <c r="O56" s="6"/>
      <c r="P56" s="6"/>
      <c r="Q56" s="6"/>
    </row>
    <row r="57" spans="3:17" x14ac:dyDescent="0.2">
      <c r="C57" s="2" t="s">
        <v>207</v>
      </c>
      <c r="I57" s="263"/>
      <c r="J57" s="179">
        <f t="shared" ref="J57:Q57" si="22">I59</f>
        <v>151.9</v>
      </c>
      <c r="K57" s="179">
        <f t="shared" si="22"/>
        <v>132.95654250238778</v>
      </c>
      <c r="L57" s="179">
        <f t="shared" si="22"/>
        <v>114.01308500477555</v>
      </c>
      <c r="M57" s="179">
        <f t="shared" si="22"/>
        <v>95.069627507163318</v>
      </c>
      <c r="N57" s="179">
        <f t="shared" si="22"/>
        <v>76.126170009551089</v>
      </c>
      <c r="O57" s="179">
        <f t="shared" si="22"/>
        <v>57.18271251193886</v>
      </c>
      <c r="P57" s="179">
        <f t="shared" si="22"/>
        <v>38.239255014326631</v>
      </c>
      <c r="Q57" s="179">
        <f t="shared" si="22"/>
        <v>19.295797516714405</v>
      </c>
    </row>
    <row r="58" spans="3:17" x14ac:dyDescent="0.2">
      <c r="C58" s="261" t="s">
        <v>316</v>
      </c>
      <c r="D58" s="261"/>
      <c r="E58" s="261"/>
      <c r="F58" s="261"/>
      <c r="G58" s="261"/>
      <c r="H58" s="261"/>
      <c r="I58" s="263"/>
      <c r="J58" s="179">
        <f t="shared" ref="J58:Q58" si="23">-IF(J57&gt;0,IF(J57&gt;J66,J66,J57),0)</f>
        <v>-18.943457497612226</v>
      </c>
      <c r="K58" s="179">
        <f t="shared" si="23"/>
        <v>-18.943457497612226</v>
      </c>
      <c r="L58" s="179">
        <f t="shared" si="23"/>
        <v>-18.943457497612226</v>
      </c>
      <c r="M58" s="179">
        <f t="shared" si="23"/>
        <v>-18.943457497612226</v>
      </c>
      <c r="N58" s="179">
        <f t="shared" si="23"/>
        <v>-18.943457497612226</v>
      </c>
      <c r="O58" s="179">
        <f t="shared" si="23"/>
        <v>-18.943457497612226</v>
      </c>
      <c r="P58" s="179">
        <f t="shared" si="23"/>
        <v>-18.943457497612226</v>
      </c>
      <c r="Q58" s="179">
        <f t="shared" si="23"/>
        <v>-18.943457497612226</v>
      </c>
    </row>
    <row r="59" spans="3:17" x14ac:dyDescent="0.2">
      <c r="C59" s="2" t="s">
        <v>314</v>
      </c>
      <c r="I59" s="264">
        <f>BS!I33</f>
        <v>151.9</v>
      </c>
      <c r="J59" s="180">
        <f t="shared" ref="J59:Q59" si="24">SUM(J57:J58)</f>
        <v>132.95654250238778</v>
      </c>
      <c r="K59" s="180">
        <f t="shared" si="24"/>
        <v>114.01308500477555</v>
      </c>
      <c r="L59" s="180">
        <f t="shared" si="24"/>
        <v>95.069627507163318</v>
      </c>
      <c r="M59" s="180">
        <f t="shared" si="24"/>
        <v>76.126170009551089</v>
      </c>
      <c r="N59" s="180">
        <f t="shared" si="24"/>
        <v>57.18271251193886</v>
      </c>
      <c r="O59" s="180">
        <f t="shared" si="24"/>
        <v>38.239255014326631</v>
      </c>
      <c r="P59" s="180">
        <f t="shared" si="24"/>
        <v>19.295797516714405</v>
      </c>
      <c r="Q59" s="180">
        <f t="shared" si="24"/>
        <v>0.35234001910217927</v>
      </c>
    </row>
    <row r="60" spans="3:17" x14ac:dyDescent="0.2">
      <c r="C60" s="2" t="s">
        <v>312</v>
      </c>
      <c r="I60" s="265">
        <f>BS!I33+BS!I39</f>
        <v>732.9</v>
      </c>
      <c r="J60" s="47"/>
      <c r="K60" s="47"/>
      <c r="L60" s="47"/>
      <c r="M60" s="47"/>
      <c r="N60" s="47"/>
      <c r="O60" s="47"/>
      <c r="P60" s="47"/>
      <c r="Q60" s="47"/>
    </row>
    <row r="61" spans="3:17" x14ac:dyDescent="0.2">
      <c r="C61" s="2" t="s">
        <v>313</v>
      </c>
      <c r="I61" s="20">
        <v>119.7</v>
      </c>
      <c r="J61" s="47" t="s">
        <v>600</v>
      </c>
      <c r="K61" s="47"/>
      <c r="L61" s="47"/>
      <c r="M61" s="47"/>
      <c r="N61" s="47"/>
      <c r="O61" s="47"/>
      <c r="P61" s="47"/>
      <c r="Q61" s="47"/>
    </row>
    <row r="62" spans="3:17" x14ac:dyDescent="0.2">
      <c r="C62" s="2" t="s">
        <v>317</v>
      </c>
      <c r="I62" s="20">
        <v>91.4</v>
      </c>
      <c r="J62" s="47"/>
      <c r="K62" s="47"/>
      <c r="L62" s="47"/>
      <c r="M62" s="47"/>
      <c r="N62" s="47"/>
      <c r="O62" s="47"/>
      <c r="P62" s="47"/>
      <c r="Q62" s="47"/>
    </row>
    <row r="63" spans="3:17" x14ac:dyDescent="0.2">
      <c r="C63" s="2" t="s">
        <v>211</v>
      </c>
      <c r="I63" s="263"/>
      <c r="J63" s="216">
        <f>I61/I60</f>
        <v>0.16332378223495703</v>
      </c>
      <c r="K63" s="216">
        <f t="shared" ref="K63:Q63" si="25">J63</f>
        <v>0.16332378223495703</v>
      </c>
      <c r="L63" s="216">
        <f t="shared" si="25"/>
        <v>0.16332378223495703</v>
      </c>
      <c r="M63" s="216">
        <f t="shared" si="25"/>
        <v>0.16332378223495703</v>
      </c>
      <c r="N63" s="216">
        <f t="shared" si="25"/>
        <v>0.16332378223495703</v>
      </c>
      <c r="O63" s="216">
        <f t="shared" si="25"/>
        <v>0.16332378223495703</v>
      </c>
      <c r="P63" s="216">
        <f t="shared" si="25"/>
        <v>0.16332378223495703</v>
      </c>
      <c r="Q63" s="216">
        <f t="shared" si="25"/>
        <v>0.16332378223495703</v>
      </c>
    </row>
    <row r="64" spans="3:17" x14ac:dyDescent="0.2">
      <c r="C64" s="2" t="s">
        <v>212</v>
      </c>
      <c r="I64" s="263"/>
      <c r="J64" s="179">
        <f t="shared" ref="J64:Q64" si="26">J63*AVERAGE(I59:J59)</f>
        <v>23.261923957931383</v>
      </c>
      <c r="K64" s="179">
        <f t="shared" si="26"/>
        <v>20.168006830814196</v>
      </c>
      <c r="L64" s="179">
        <f t="shared" si="26"/>
        <v>17.074089703697013</v>
      </c>
      <c r="M64" s="179">
        <f t="shared" si="26"/>
        <v>13.980172576579831</v>
      </c>
      <c r="N64" s="179">
        <f t="shared" si="26"/>
        <v>10.886255449462647</v>
      </c>
      <c r="O64" s="179">
        <f t="shared" si="26"/>
        <v>7.7923383223454632</v>
      </c>
      <c r="P64" s="179">
        <f t="shared" si="26"/>
        <v>4.6984211952282795</v>
      </c>
      <c r="Q64" s="179">
        <f t="shared" si="26"/>
        <v>1.6045040681110965</v>
      </c>
    </row>
    <row r="65" spans="3:18" x14ac:dyDescent="0.2">
      <c r="C65" s="2" t="s">
        <v>539</v>
      </c>
      <c r="I65" s="263"/>
      <c r="J65" s="216">
        <f>I62/I60</f>
        <v>0.12471005594214764</v>
      </c>
      <c r="K65" s="216">
        <f t="shared" ref="K65:Q65" si="27">J65</f>
        <v>0.12471005594214764</v>
      </c>
      <c r="L65" s="216">
        <f t="shared" si="27"/>
        <v>0.12471005594214764</v>
      </c>
      <c r="M65" s="216">
        <f t="shared" si="27"/>
        <v>0.12471005594214764</v>
      </c>
      <c r="N65" s="216">
        <f t="shared" si="27"/>
        <v>0.12471005594214764</v>
      </c>
      <c r="O65" s="216">
        <f t="shared" si="27"/>
        <v>0.12471005594214764</v>
      </c>
      <c r="P65" s="216">
        <f t="shared" si="27"/>
        <v>0.12471005594214764</v>
      </c>
      <c r="Q65" s="216">
        <f t="shared" si="27"/>
        <v>0.12471005594214764</v>
      </c>
    </row>
    <row r="66" spans="3:18" x14ac:dyDescent="0.2">
      <c r="C66" s="2" t="s">
        <v>540</v>
      </c>
      <c r="I66" s="263"/>
      <c r="J66" s="179">
        <f t="shared" ref="J66:Q66" si="28">J65*$I$59</f>
        <v>18.943457497612226</v>
      </c>
      <c r="K66" s="179">
        <f t="shared" si="28"/>
        <v>18.943457497612226</v>
      </c>
      <c r="L66" s="179">
        <f t="shared" si="28"/>
        <v>18.943457497612226</v>
      </c>
      <c r="M66" s="179">
        <f t="shared" si="28"/>
        <v>18.943457497612226</v>
      </c>
      <c r="N66" s="179">
        <f t="shared" si="28"/>
        <v>18.943457497612226</v>
      </c>
      <c r="O66" s="179">
        <f t="shared" si="28"/>
        <v>18.943457497612226</v>
      </c>
      <c r="P66" s="179">
        <f t="shared" si="28"/>
        <v>18.943457497612226</v>
      </c>
      <c r="Q66" s="179">
        <f t="shared" si="28"/>
        <v>18.943457497612226</v>
      </c>
    </row>
    <row r="67" spans="3:18" x14ac:dyDescent="0.2">
      <c r="J67" s="59"/>
    </row>
    <row r="68" spans="3:18" ht="13.5" thickBot="1" x14ac:dyDescent="0.25">
      <c r="C68" s="262" t="s">
        <v>324</v>
      </c>
      <c r="D68" s="262"/>
      <c r="E68" s="262"/>
      <c r="F68" s="262"/>
      <c r="G68" s="262"/>
      <c r="H68" s="262"/>
      <c r="I68" s="28"/>
      <c r="J68" s="6"/>
      <c r="K68" s="6"/>
      <c r="L68" s="6"/>
      <c r="M68" s="6"/>
      <c r="N68" s="6"/>
      <c r="O68" s="6"/>
      <c r="P68" s="6"/>
      <c r="Q68" s="6"/>
    </row>
    <row r="69" spans="3:18" x14ac:dyDescent="0.2">
      <c r="C69" s="2" t="s">
        <v>207</v>
      </c>
      <c r="I69" s="263"/>
      <c r="J69" s="179">
        <f t="shared" ref="J69:Q69" si="29">I71</f>
        <v>581</v>
      </c>
      <c r="K69" s="179">
        <f t="shared" si="29"/>
        <v>508.54345749761222</v>
      </c>
      <c r="L69" s="179">
        <f t="shared" si="29"/>
        <v>436.08691499522445</v>
      </c>
      <c r="M69" s="179">
        <f t="shared" si="29"/>
        <v>363.63037249283667</v>
      </c>
      <c r="N69" s="179">
        <f t="shared" si="29"/>
        <v>291.17382999044889</v>
      </c>
      <c r="O69" s="179">
        <f t="shared" si="29"/>
        <v>218.71728748806112</v>
      </c>
      <c r="P69" s="179">
        <f t="shared" si="29"/>
        <v>146.26074498567334</v>
      </c>
      <c r="Q69" s="179">
        <f t="shared" si="29"/>
        <v>73.804202483285565</v>
      </c>
    </row>
    <row r="70" spans="3:18" x14ac:dyDescent="0.2">
      <c r="C70" s="261" t="s">
        <v>316</v>
      </c>
      <c r="D70" s="261"/>
      <c r="E70" s="261"/>
      <c r="F70" s="261"/>
      <c r="G70" s="261"/>
      <c r="H70" s="261"/>
      <c r="I70" s="263"/>
      <c r="J70" s="179">
        <f t="shared" ref="J70:Q70" si="30">-IF(J69&gt;0,IF(J69&gt;J75,J75,J69),0)</f>
        <v>-72.456542502387776</v>
      </c>
      <c r="K70" s="179">
        <f t="shared" si="30"/>
        <v>-72.456542502387776</v>
      </c>
      <c r="L70" s="179">
        <f t="shared" si="30"/>
        <v>-72.456542502387776</v>
      </c>
      <c r="M70" s="179">
        <f t="shared" si="30"/>
        <v>-72.456542502387776</v>
      </c>
      <c r="N70" s="179">
        <f t="shared" si="30"/>
        <v>-72.456542502387776</v>
      </c>
      <c r="O70" s="179">
        <f t="shared" si="30"/>
        <v>-72.456542502387776</v>
      </c>
      <c r="P70" s="179">
        <f t="shared" si="30"/>
        <v>-72.456542502387776</v>
      </c>
      <c r="Q70" s="179">
        <f t="shared" si="30"/>
        <v>-72.456542502387776</v>
      </c>
    </row>
    <row r="71" spans="3:18" x14ac:dyDescent="0.2">
      <c r="C71" s="2" t="s">
        <v>314</v>
      </c>
      <c r="I71" s="264">
        <f>BS!I39</f>
        <v>581</v>
      </c>
      <c r="J71" s="180">
        <f t="shared" ref="J71:Q71" si="31">SUM(J69:J70)</f>
        <v>508.54345749761222</v>
      </c>
      <c r="K71" s="180">
        <f t="shared" si="31"/>
        <v>436.08691499522445</v>
      </c>
      <c r="L71" s="180">
        <f t="shared" si="31"/>
        <v>363.63037249283667</v>
      </c>
      <c r="M71" s="180">
        <f t="shared" si="31"/>
        <v>291.17382999044889</v>
      </c>
      <c r="N71" s="180">
        <f t="shared" si="31"/>
        <v>218.71728748806112</v>
      </c>
      <c r="O71" s="180">
        <f t="shared" si="31"/>
        <v>146.26074498567334</v>
      </c>
      <c r="P71" s="180">
        <f t="shared" si="31"/>
        <v>73.804202483285565</v>
      </c>
      <c r="Q71" s="180">
        <f t="shared" si="31"/>
        <v>1.347659980897788</v>
      </c>
    </row>
    <row r="72" spans="3:18" x14ac:dyDescent="0.2">
      <c r="C72" s="2" t="s">
        <v>211</v>
      </c>
      <c r="I72" s="263"/>
      <c r="J72" s="216">
        <f t="shared" ref="J72:Q72" si="32">J63</f>
        <v>0.16332378223495703</v>
      </c>
      <c r="K72" s="216">
        <f t="shared" si="32"/>
        <v>0.16332378223495703</v>
      </c>
      <c r="L72" s="216">
        <f t="shared" si="32"/>
        <v>0.16332378223495703</v>
      </c>
      <c r="M72" s="216">
        <f t="shared" si="32"/>
        <v>0.16332378223495703</v>
      </c>
      <c r="N72" s="216">
        <f t="shared" si="32"/>
        <v>0.16332378223495703</v>
      </c>
      <c r="O72" s="216">
        <f t="shared" si="32"/>
        <v>0.16332378223495703</v>
      </c>
      <c r="P72" s="216">
        <f t="shared" si="32"/>
        <v>0.16332378223495703</v>
      </c>
      <c r="Q72" s="216">
        <f t="shared" si="32"/>
        <v>0.16332378223495703</v>
      </c>
    </row>
    <row r="73" spans="3:18" x14ac:dyDescent="0.2">
      <c r="C73" s="2" t="s">
        <v>212</v>
      </c>
      <c r="I73" s="263"/>
      <c r="J73" s="179">
        <f t="shared" ref="J73:Q73" si="33">J72*AVERAGE(I71:J71)</f>
        <v>88.974179193931093</v>
      </c>
      <c r="K73" s="179">
        <f t="shared" si="33"/>
        <v>77.140302624773199</v>
      </c>
      <c r="L73" s="179">
        <f t="shared" si="33"/>
        <v>65.306426055615319</v>
      </c>
      <c r="M73" s="179">
        <f t="shared" si="33"/>
        <v>53.472549486457417</v>
      </c>
      <c r="N73" s="179">
        <f t="shared" si="33"/>
        <v>41.63867291729953</v>
      </c>
      <c r="O73" s="179">
        <f t="shared" si="33"/>
        <v>29.80479634814164</v>
      </c>
      <c r="P73" s="179">
        <f t="shared" si="33"/>
        <v>17.970919778983752</v>
      </c>
      <c r="Q73" s="179">
        <f t="shared" si="33"/>
        <v>6.1370432098258618</v>
      </c>
    </row>
    <row r="74" spans="3:18" x14ac:dyDescent="0.2">
      <c r="C74" s="2" t="s">
        <v>539</v>
      </c>
      <c r="I74" s="263"/>
      <c r="J74" s="216">
        <f t="shared" ref="J74:Q74" si="34">J65</f>
        <v>0.12471005594214764</v>
      </c>
      <c r="K74" s="216">
        <f t="shared" si="34"/>
        <v>0.12471005594214764</v>
      </c>
      <c r="L74" s="216">
        <f t="shared" si="34"/>
        <v>0.12471005594214764</v>
      </c>
      <c r="M74" s="216">
        <f t="shared" si="34"/>
        <v>0.12471005594214764</v>
      </c>
      <c r="N74" s="216">
        <f t="shared" si="34"/>
        <v>0.12471005594214764</v>
      </c>
      <c r="O74" s="216">
        <f t="shared" si="34"/>
        <v>0.12471005594214764</v>
      </c>
      <c r="P74" s="216">
        <f t="shared" si="34"/>
        <v>0.12471005594214764</v>
      </c>
      <c r="Q74" s="216">
        <f t="shared" si="34"/>
        <v>0.12471005594214764</v>
      </c>
    </row>
    <row r="75" spans="3:18" x14ac:dyDescent="0.2">
      <c r="C75" s="2" t="s">
        <v>540</v>
      </c>
      <c r="I75" s="263"/>
      <c r="J75" s="179">
        <f t="shared" ref="J75:Q75" si="35">J74*$I$71</f>
        <v>72.456542502387776</v>
      </c>
      <c r="K75" s="179">
        <f t="shared" si="35"/>
        <v>72.456542502387776</v>
      </c>
      <c r="L75" s="179">
        <f t="shared" si="35"/>
        <v>72.456542502387776</v>
      </c>
      <c r="M75" s="179">
        <f t="shared" si="35"/>
        <v>72.456542502387776</v>
      </c>
      <c r="N75" s="179">
        <f t="shared" si="35"/>
        <v>72.456542502387776</v>
      </c>
      <c r="O75" s="179">
        <f t="shared" si="35"/>
        <v>72.456542502387776</v>
      </c>
      <c r="P75" s="179">
        <f t="shared" si="35"/>
        <v>72.456542502387776</v>
      </c>
      <c r="Q75" s="179">
        <f t="shared" si="35"/>
        <v>72.456542502387776</v>
      </c>
    </row>
    <row r="76" spans="3:18" x14ac:dyDescent="0.2">
      <c r="I76" s="28"/>
      <c r="J76" s="6"/>
      <c r="K76" s="6"/>
      <c r="L76" s="6"/>
      <c r="M76" s="6"/>
      <c r="N76" s="6"/>
      <c r="O76" s="6"/>
      <c r="P76" s="6"/>
      <c r="Q76" s="6"/>
    </row>
    <row r="77" spans="3:18" x14ac:dyDescent="0.2">
      <c r="C77" s="18" t="s">
        <v>326</v>
      </c>
      <c r="I77" s="263"/>
      <c r="J77" s="179">
        <f t="shared" ref="J77:Q77" si="36">J64+J73</f>
        <v>112.23610315186248</v>
      </c>
      <c r="K77" s="179">
        <f t="shared" si="36"/>
        <v>97.308309455587391</v>
      </c>
      <c r="L77" s="179">
        <f t="shared" si="36"/>
        <v>82.380515759312331</v>
      </c>
      <c r="M77" s="179">
        <f t="shared" si="36"/>
        <v>67.452722063037243</v>
      </c>
      <c r="N77" s="179">
        <f t="shared" si="36"/>
        <v>52.524928366762175</v>
      </c>
      <c r="O77" s="179">
        <f t="shared" si="36"/>
        <v>37.597134670487101</v>
      </c>
      <c r="P77" s="179">
        <f t="shared" si="36"/>
        <v>22.669340974212034</v>
      </c>
      <c r="Q77" s="179">
        <f t="shared" si="36"/>
        <v>7.7415472779369585</v>
      </c>
    </row>
    <row r="78" spans="3:18" x14ac:dyDescent="0.2">
      <c r="J78" s="6"/>
    </row>
    <row r="80" spans="3:18" ht="15" x14ac:dyDescent="0.25">
      <c r="J80"/>
      <c r="K80"/>
      <c r="L80"/>
      <c r="M80"/>
      <c r="N80"/>
      <c r="O80"/>
      <c r="P80"/>
      <c r="Q80"/>
      <c r="R80"/>
    </row>
    <row r="81" spans="10:18" ht="15" x14ac:dyDescent="0.25">
      <c r="J81"/>
      <c r="K81"/>
      <c r="L81"/>
      <c r="M81"/>
      <c r="N81"/>
      <c r="O81"/>
      <c r="P81"/>
      <c r="Q81"/>
      <c r="R81"/>
    </row>
    <row r="82" spans="10:18" ht="15" x14ac:dyDescent="0.25">
      <c r="J82"/>
      <c r="K82"/>
      <c r="L82"/>
      <c r="M82"/>
      <c r="N82"/>
      <c r="O82"/>
      <c r="P82"/>
      <c r="Q82"/>
      <c r="R82"/>
    </row>
    <row r="83" spans="10:18" ht="15" x14ac:dyDescent="0.25">
      <c r="J83"/>
      <c r="K83"/>
      <c r="L83"/>
      <c r="M83"/>
      <c r="N83"/>
      <c r="O83"/>
      <c r="P83"/>
      <c r="Q83"/>
      <c r="R83"/>
    </row>
    <row r="84" spans="10:18" ht="15" x14ac:dyDescent="0.25">
      <c r="J84"/>
      <c r="K84"/>
      <c r="L84"/>
      <c r="M84"/>
      <c r="N84"/>
      <c r="O84"/>
      <c r="P84"/>
      <c r="Q84"/>
      <c r="R84"/>
    </row>
    <row r="85" spans="10:18" ht="15" x14ac:dyDescent="0.25">
      <c r="J85"/>
      <c r="K85"/>
      <c r="L85"/>
      <c r="M85"/>
      <c r="N85"/>
      <c r="O85"/>
      <c r="P85"/>
      <c r="Q85"/>
      <c r="R85"/>
    </row>
    <row r="86" spans="10:18" ht="15" x14ac:dyDescent="0.25">
      <c r="J86"/>
      <c r="K86"/>
      <c r="L86"/>
      <c r="M86"/>
      <c r="N86"/>
      <c r="O86"/>
      <c r="P86"/>
      <c r="Q86"/>
      <c r="R86"/>
    </row>
  </sheetData>
  <conditionalFormatting sqref="U5">
    <cfRule type="cellIs" dxfId="1" priority="1" operator="equal">
      <formula>"No"</formula>
    </cfRule>
    <cfRule type="cellIs" dxfId="0" priority="2" operator="equal">
      <formula>"Yes"</formula>
    </cfRule>
  </conditionalFormatting>
  <dataValidations count="1">
    <dataValidation type="list" allowBlank="1" showInputMessage="1" showErrorMessage="1" sqref="S5" xr:uid="{5E282C20-9441-4D73-A680-AF52C7D5DCD2}">
      <formula1>$U$3:$V$3</formula1>
    </dataValidation>
  </dataValidation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88609-889E-4A78-A3FE-7939B7895749}">
  <sheetPr>
    <tabColor theme="4" tint="0.59999389629810485"/>
  </sheetPr>
  <dimension ref="C1:Z11"/>
  <sheetViews>
    <sheetView showGridLines="0" workbookViewId="0"/>
  </sheetViews>
  <sheetFormatPr defaultColWidth="9.140625" defaultRowHeight="12.75" x14ac:dyDescent="0.2"/>
  <cols>
    <col min="1" max="2" width="1.5703125" style="2" customWidth="1"/>
    <col min="3" max="3" width="16.7109375" style="2" bestFit="1" customWidth="1"/>
    <col min="4" max="4" width="14.28515625" style="2" bestFit="1" customWidth="1"/>
    <col min="5" max="5" width="8.85546875" style="2" bestFit="1" customWidth="1"/>
    <col min="6" max="6" width="10.5703125" style="2" bestFit="1" customWidth="1"/>
    <col min="7" max="7" width="13" style="2" bestFit="1" customWidth="1"/>
    <col min="8" max="8" width="4.85546875" style="2" bestFit="1" customWidth="1"/>
    <col min="9" max="9" width="9.140625" style="2" bestFit="1" customWidth="1"/>
    <col min="10" max="10" width="10.7109375" style="2" bestFit="1" customWidth="1"/>
    <col min="11" max="11" width="9.140625" style="2" bestFit="1" customWidth="1"/>
    <col min="12" max="15" width="9.140625" style="2"/>
    <col min="16" max="26" width="9.28515625" style="2" bestFit="1" customWidth="1"/>
    <col min="27" max="16384" width="9.140625" style="2"/>
  </cols>
  <sheetData>
    <row r="1" spans="3:26" x14ac:dyDescent="0.2">
      <c r="C1" s="2" t="s">
        <v>274</v>
      </c>
    </row>
    <row r="2" spans="3:26" x14ac:dyDescent="0.2">
      <c r="C2" s="3" t="s">
        <v>310</v>
      </c>
      <c r="D2" s="3"/>
      <c r="E2" s="3"/>
      <c r="F2" s="3"/>
      <c r="G2" s="3"/>
      <c r="H2" s="3"/>
      <c r="I2" s="3"/>
      <c r="J2" s="3"/>
      <c r="K2" s="3"/>
    </row>
    <row r="3" spans="3:26" ht="5.0999999999999996" customHeight="1" x14ac:dyDescent="0.2"/>
    <row r="4" spans="3:26" x14ac:dyDescent="0.2">
      <c r="C4" s="55" t="s">
        <v>309</v>
      </c>
      <c r="D4" s="60"/>
      <c r="E4" s="60"/>
      <c r="F4" s="60"/>
      <c r="G4" s="60"/>
      <c r="H4" s="60"/>
      <c r="I4" s="60"/>
      <c r="J4" s="60"/>
      <c r="K4" s="260"/>
      <c r="N4" s="55" t="s">
        <v>323</v>
      </c>
      <c r="O4" s="60"/>
      <c r="P4" s="60"/>
      <c r="Q4" s="60"/>
      <c r="R4" s="61"/>
      <c r="S4" s="61"/>
      <c r="T4" s="61"/>
      <c r="U4" s="61"/>
      <c r="V4" s="61"/>
      <c r="W4" s="61"/>
      <c r="X4" s="61"/>
      <c r="Y4" s="61"/>
      <c r="Z4" s="61"/>
    </row>
    <row r="5" spans="3:26" x14ac:dyDescent="0.2">
      <c r="D5" s="327" t="s">
        <v>158</v>
      </c>
      <c r="F5" s="327" t="s">
        <v>278</v>
      </c>
      <c r="G5" s="327" t="s">
        <v>148</v>
      </c>
      <c r="H5" s="327" t="s">
        <v>279</v>
      </c>
      <c r="J5" s="327" t="s">
        <v>280</v>
      </c>
      <c r="K5" s="327" t="s">
        <v>148</v>
      </c>
      <c r="P5" s="466">
        <v>2024</v>
      </c>
      <c r="Q5" s="467">
        <f t="shared" ref="Q5:Z5" si="0">P5+1</f>
        <v>2025</v>
      </c>
      <c r="R5" s="467">
        <f t="shared" si="0"/>
        <v>2026</v>
      </c>
      <c r="S5" s="467">
        <f t="shared" si="0"/>
        <v>2027</v>
      </c>
      <c r="T5" s="467">
        <f t="shared" si="0"/>
        <v>2028</v>
      </c>
      <c r="U5" s="467">
        <f t="shared" si="0"/>
        <v>2029</v>
      </c>
      <c r="V5" s="467">
        <f t="shared" si="0"/>
        <v>2030</v>
      </c>
      <c r="W5" s="467">
        <f t="shared" si="0"/>
        <v>2031</v>
      </c>
      <c r="X5" s="467">
        <f t="shared" si="0"/>
        <v>2032</v>
      </c>
      <c r="Y5" s="467">
        <f t="shared" si="0"/>
        <v>2033</v>
      </c>
      <c r="Z5" s="467">
        <f t="shared" si="0"/>
        <v>2034</v>
      </c>
    </row>
    <row r="6" spans="3:26" x14ac:dyDescent="0.2">
      <c r="C6" s="327" t="s">
        <v>277</v>
      </c>
      <c r="D6" s="327" t="s">
        <v>281</v>
      </c>
      <c r="E6" s="327" t="s">
        <v>282</v>
      </c>
      <c r="F6" s="327" t="s">
        <v>283</v>
      </c>
      <c r="G6" s="327" t="s">
        <v>284</v>
      </c>
      <c r="H6" s="327" t="s">
        <v>285</v>
      </c>
      <c r="I6" s="327" t="s">
        <v>286</v>
      </c>
      <c r="J6" s="327" t="s">
        <v>287</v>
      </c>
      <c r="K6" s="327" t="s">
        <v>288</v>
      </c>
      <c r="N6" s="2" t="s">
        <v>318</v>
      </c>
      <c r="P6" s="464">
        <v>3.7999999999999999E-2</v>
      </c>
      <c r="Q6" s="465" cm="1">
        <f t="array" ref="Q6:Z6">TRANSPOSE('SOFR Forward Rate Curve'!K5:K14)</f>
        <v>3.6900000000000002E-2</v>
      </c>
      <c r="R6" s="465">
        <v>3.09E-2</v>
      </c>
      <c r="S6" s="465">
        <v>3.2099999999999997E-2</v>
      </c>
      <c r="T6" s="465">
        <v>3.3500000000000002E-2</v>
      </c>
      <c r="U6" s="465">
        <v>3.49E-2</v>
      </c>
      <c r="V6" s="465">
        <v>3.6600000000000001E-2</v>
      </c>
      <c r="W6" s="465">
        <v>3.8100000000000002E-2</v>
      </c>
      <c r="X6" s="465">
        <v>3.9399999999999998E-2</v>
      </c>
      <c r="Y6" s="465">
        <v>4.0599999999999997E-2</v>
      </c>
      <c r="Z6" s="465">
        <v>4.19E-2</v>
      </c>
    </row>
    <row r="7" spans="3:26" x14ac:dyDescent="0.2">
      <c r="C7" s="454" t="s">
        <v>308</v>
      </c>
      <c r="D7" s="455"/>
      <c r="E7" s="456">
        <v>0</v>
      </c>
      <c r="F7" s="457"/>
      <c r="G7" s="458">
        <v>0.1</v>
      </c>
      <c r="H7" s="458"/>
      <c r="I7" s="459">
        <v>2034</v>
      </c>
      <c r="J7" s="460">
        <v>0</v>
      </c>
      <c r="K7" s="460">
        <v>1</v>
      </c>
    </row>
    <row r="8" spans="3:26" x14ac:dyDescent="0.2">
      <c r="C8" s="261" t="s">
        <v>206</v>
      </c>
      <c r="D8" s="268"/>
      <c r="E8" s="269">
        <v>150</v>
      </c>
      <c r="F8" s="270"/>
      <c r="G8" s="271">
        <v>0.1</v>
      </c>
      <c r="H8" s="274"/>
      <c r="I8" s="272">
        <v>2025</v>
      </c>
      <c r="J8" s="273">
        <v>0</v>
      </c>
      <c r="K8" s="273">
        <v>1</v>
      </c>
      <c r="Q8" s="246"/>
    </row>
    <row r="9" spans="3:26" x14ac:dyDescent="0.2">
      <c r="C9" s="261" t="s">
        <v>289</v>
      </c>
      <c r="D9" s="268"/>
      <c r="E9" s="269">
        <v>489.4</v>
      </c>
      <c r="F9" s="270"/>
      <c r="G9" s="271">
        <v>7.0000000000000007E-2</v>
      </c>
      <c r="H9" s="274"/>
      <c r="I9" s="272">
        <v>2025</v>
      </c>
      <c r="J9" s="273">
        <v>0</v>
      </c>
      <c r="K9" s="273">
        <v>0</v>
      </c>
      <c r="Q9" s="246"/>
    </row>
    <row r="10" spans="3:26" x14ac:dyDescent="0.2">
      <c r="C10" s="261" t="s">
        <v>290</v>
      </c>
      <c r="D10" s="268"/>
      <c r="E10" s="269">
        <v>381.9</v>
      </c>
      <c r="F10" s="270"/>
      <c r="G10" s="275">
        <v>0.158</v>
      </c>
      <c r="H10" s="274"/>
      <c r="I10" s="272">
        <v>2028</v>
      </c>
      <c r="J10" s="273">
        <v>0.1</v>
      </c>
      <c r="K10" s="273">
        <v>0.5</v>
      </c>
      <c r="Q10" s="246"/>
    </row>
    <row r="11" spans="3:26" x14ac:dyDescent="0.2">
      <c r="C11" s="261" t="s">
        <v>289</v>
      </c>
      <c r="D11" s="268"/>
      <c r="E11" s="269">
        <v>1276.4000000000001</v>
      </c>
      <c r="F11" s="270"/>
      <c r="G11" s="271">
        <v>0.10249999999999999</v>
      </c>
      <c r="H11" s="461"/>
      <c r="I11" s="462">
        <f>IF('Debt Schedule'!S5=TRUE,2032,2026)</f>
        <v>2032</v>
      </c>
      <c r="J11" s="463">
        <v>0.1</v>
      </c>
      <c r="K11" s="463">
        <v>0</v>
      </c>
      <c r="Q11" s="246"/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6DEE7-A6F3-4F6F-A165-58F1A1BC13FF}">
  <sheetPr>
    <tabColor theme="4" tint="-0.249977111117893"/>
    <pageSetUpPr autoPageBreaks="0"/>
  </sheetPr>
  <dimension ref="C1:W48"/>
  <sheetViews>
    <sheetView showGridLines="0" zoomScaleNormal="100" workbookViewId="0"/>
  </sheetViews>
  <sheetFormatPr defaultColWidth="9.140625" defaultRowHeight="12.75" outlineLevelCol="1" x14ac:dyDescent="0.2"/>
  <cols>
    <col min="1" max="2" width="1.7109375" style="2" customWidth="1"/>
    <col min="3" max="3" width="50.140625" style="2" customWidth="1"/>
    <col min="4" max="8" width="9.140625" style="2" hidden="1" customWidth="1" outlineLevel="1"/>
    <col min="9" max="9" width="15.7109375" style="2" hidden="1" customWidth="1" outlineLevel="1"/>
    <col min="10" max="10" width="15.7109375" style="2" customWidth="1" collapsed="1"/>
    <col min="11" max="17" width="15.7109375" style="2" customWidth="1"/>
    <col min="18" max="18" width="9.140625" style="2"/>
    <col min="19" max="19" width="32.7109375" style="2" bestFit="1" customWidth="1"/>
    <col min="20" max="22" width="15.7109375" style="6" customWidth="1"/>
    <col min="23" max="16384" width="9.140625" style="2"/>
  </cols>
  <sheetData>
    <row r="1" spans="3:23" x14ac:dyDescent="0.2">
      <c r="I1" s="245">
        <v>2024</v>
      </c>
      <c r="J1" s="136">
        <f>I1+1</f>
        <v>2025</v>
      </c>
      <c r="K1" s="57">
        <f t="shared" ref="K1:Q1" si="0">J1+1</f>
        <v>2026</v>
      </c>
      <c r="L1" s="57">
        <f t="shared" si="0"/>
        <v>2027</v>
      </c>
      <c r="M1" s="57">
        <f t="shared" si="0"/>
        <v>2028</v>
      </c>
      <c r="N1" s="57">
        <f t="shared" si="0"/>
        <v>2029</v>
      </c>
      <c r="O1" s="57">
        <f t="shared" si="0"/>
        <v>2030</v>
      </c>
      <c r="P1" s="57">
        <f t="shared" si="0"/>
        <v>2031</v>
      </c>
      <c r="Q1" s="57">
        <f t="shared" si="0"/>
        <v>2032</v>
      </c>
      <c r="T1" s="309" t="s">
        <v>438</v>
      </c>
      <c r="U1" s="252"/>
      <c r="V1" s="310"/>
    </row>
    <row r="2" spans="3:23" x14ac:dyDescent="0.2">
      <c r="C2" s="3" t="s">
        <v>351</v>
      </c>
      <c r="D2" s="3"/>
      <c r="E2" s="3"/>
      <c r="F2" s="3"/>
      <c r="G2" s="3"/>
      <c r="H2" s="3"/>
      <c r="I2" s="3"/>
      <c r="J2" s="106"/>
      <c r="K2" s="3"/>
      <c r="L2" s="3"/>
      <c r="M2" s="3"/>
      <c r="N2" s="3"/>
      <c r="O2" s="3"/>
      <c r="P2" s="3"/>
      <c r="Q2" s="3"/>
      <c r="T2" s="316">
        <v>-5.0000000000000001E-3</v>
      </c>
      <c r="U2" s="318">
        <f>+'Forecast Assumptions'!$D$43</f>
        <v>0</v>
      </c>
      <c r="V2" s="316">
        <v>-5.0000000000000001E-3</v>
      </c>
      <c r="W2" s="18"/>
    </row>
    <row r="3" spans="3:23" ht="5.0999999999999996" customHeight="1" x14ac:dyDescent="0.2">
      <c r="C3" s="2" t="s">
        <v>275</v>
      </c>
      <c r="J3" s="59"/>
    </row>
    <row r="4" spans="3:23" x14ac:dyDescent="0.2">
      <c r="C4" s="55" t="s">
        <v>350</v>
      </c>
      <c r="D4" s="60"/>
      <c r="E4" s="60"/>
      <c r="F4" s="60"/>
      <c r="G4" s="60"/>
      <c r="H4" s="60"/>
      <c r="I4" s="60"/>
      <c r="J4" s="55"/>
      <c r="K4" s="60"/>
      <c r="L4" s="61"/>
      <c r="M4" s="61"/>
      <c r="N4" s="61"/>
      <c r="O4" s="61"/>
      <c r="P4" s="61"/>
      <c r="Q4" s="61"/>
      <c r="T4" s="309" t="s">
        <v>591</v>
      </c>
      <c r="U4" s="252"/>
      <c r="V4" s="310"/>
    </row>
    <row r="5" spans="3:23" x14ac:dyDescent="0.2">
      <c r="C5" s="172" t="s">
        <v>86</v>
      </c>
      <c r="J5" s="253">
        <f>IS!J55</f>
        <v>819.7617379012222</v>
      </c>
      <c r="K5" s="145">
        <f>IS!K55</f>
        <v>714.23381368134926</v>
      </c>
      <c r="L5" s="145">
        <f>IS!L55</f>
        <v>703.83470518964066</v>
      </c>
      <c r="M5" s="145">
        <f>IS!M55</f>
        <v>794.30655544969193</v>
      </c>
      <c r="N5" s="145">
        <f>IS!N55</f>
        <v>732.25782888608455</v>
      </c>
      <c r="O5" s="145">
        <f>IS!O55</f>
        <v>684.17125928490077</v>
      </c>
      <c r="P5" s="145">
        <f>IS!P55</f>
        <v>622.03947390125188</v>
      </c>
      <c r="Q5" s="145">
        <f>IS!Q55</f>
        <v>583.01421705268831</v>
      </c>
      <c r="T5" s="501">
        <f>J37</f>
        <v>0.24412793466334817</v>
      </c>
      <c r="U5" s="501">
        <f>K37</f>
        <v>0.20779361790837036</v>
      </c>
      <c r="V5" s="501">
        <f>L37</f>
        <v>0.17145930115339256</v>
      </c>
    </row>
    <row r="6" spans="3:23" x14ac:dyDescent="0.2">
      <c r="C6" s="243" t="s">
        <v>330</v>
      </c>
      <c r="J6" s="156">
        <f>-CFS!J10</f>
        <v>-616.00489153018725</v>
      </c>
      <c r="K6" s="50">
        <f>-CFS!K10</f>
        <v>-559.21704810833887</v>
      </c>
      <c r="L6" s="50">
        <f>-CFS!L10</f>
        <v>-539.68898392510016</v>
      </c>
      <c r="M6" s="50">
        <f>-CFS!M10</f>
        <v>-661.76642270114144</v>
      </c>
      <c r="N6" s="50">
        <f>-CFS!N10</f>
        <v>-604.07986059368943</v>
      </c>
      <c r="O6" s="50">
        <f>-CFS!O10</f>
        <v>-559.16423940777736</v>
      </c>
      <c r="P6" s="50">
        <f>-CFS!P10</f>
        <v>-488.82147638229026</v>
      </c>
      <c r="Q6" s="50">
        <f>-CFS!Q10</f>
        <v>-456.08002102199742</v>
      </c>
    </row>
    <row r="7" spans="3:23" x14ac:dyDescent="0.2">
      <c r="C7" s="109" t="s">
        <v>87</v>
      </c>
      <c r="D7" s="21"/>
      <c r="E7" s="21"/>
      <c r="F7" s="21"/>
      <c r="G7" s="21"/>
      <c r="H7" s="21"/>
      <c r="I7" s="21"/>
      <c r="J7" s="184">
        <f>SUM(J5:J6)</f>
        <v>203.75684637103495</v>
      </c>
      <c r="K7" s="183">
        <f t="shared" ref="K7:Q7" si="1">SUM(K5:K6)</f>
        <v>155.01676557301039</v>
      </c>
      <c r="L7" s="183">
        <f t="shared" si="1"/>
        <v>164.1457212645405</v>
      </c>
      <c r="M7" s="183">
        <f t="shared" si="1"/>
        <v>132.54013274855049</v>
      </c>
      <c r="N7" s="183">
        <f t="shared" si="1"/>
        <v>128.17796829239512</v>
      </c>
      <c r="O7" s="183">
        <f t="shared" si="1"/>
        <v>125.00701987712341</v>
      </c>
      <c r="P7" s="183">
        <f t="shared" si="1"/>
        <v>133.21799751896162</v>
      </c>
      <c r="Q7" s="183">
        <f t="shared" si="1"/>
        <v>126.93419603069088</v>
      </c>
      <c r="S7" s="55" t="s">
        <v>337</v>
      </c>
      <c r="T7" s="503" t="s">
        <v>348</v>
      </c>
      <c r="U7" s="503" t="s">
        <v>428</v>
      </c>
      <c r="V7" s="504" t="s">
        <v>347</v>
      </c>
    </row>
    <row r="8" spans="3:23" x14ac:dyDescent="0.2">
      <c r="C8" s="243" t="s">
        <v>331</v>
      </c>
      <c r="J8" s="178">
        <f t="shared" ref="J8:Q8" si="2">-J7*$J$21</f>
        <v>-122.457864668992</v>
      </c>
      <c r="K8" s="179">
        <f t="shared" si="2"/>
        <v>-93.165076109379243</v>
      </c>
      <c r="L8" s="179">
        <f t="shared" si="2"/>
        <v>-98.651578479988842</v>
      </c>
      <c r="M8" s="179">
        <f t="shared" si="2"/>
        <v>-79.656619781878845</v>
      </c>
      <c r="N8" s="179">
        <f t="shared" si="2"/>
        <v>-77.034958943729464</v>
      </c>
      <c r="O8" s="179">
        <f t="shared" si="2"/>
        <v>-75.12921894615117</v>
      </c>
      <c r="P8" s="179">
        <f t="shared" si="2"/>
        <v>-80.064016508895932</v>
      </c>
      <c r="Q8" s="179">
        <f t="shared" si="2"/>
        <v>-76.28745181444522</v>
      </c>
      <c r="S8" s="18" t="s">
        <v>349</v>
      </c>
      <c r="T8" s="196">
        <f>$Q$5</f>
        <v>583.01421705268831</v>
      </c>
      <c r="U8" s="196">
        <f>$Q$5</f>
        <v>583.01421705268831</v>
      </c>
      <c r="V8" s="196">
        <f>$Q$5</f>
        <v>583.01421705268831</v>
      </c>
    </row>
    <row r="9" spans="3:23" x14ac:dyDescent="0.2">
      <c r="C9" s="109" t="s">
        <v>332</v>
      </c>
      <c r="D9" s="21"/>
      <c r="E9" s="21"/>
      <c r="F9" s="21"/>
      <c r="G9" s="21"/>
      <c r="H9" s="21"/>
      <c r="I9" s="21"/>
      <c r="J9" s="181">
        <f>SUM(J7:J8)</f>
        <v>81.298981702042951</v>
      </c>
      <c r="K9" s="180">
        <f t="shared" ref="K9:Q9" si="3">SUM(K7:K8)</f>
        <v>61.851689463631146</v>
      </c>
      <c r="L9" s="180">
        <f t="shared" si="3"/>
        <v>65.494142784551656</v>
      </c>
      <c r="M9" s="180">
        <f t="shared" si="3"/>
        <v>52.883512966671645</v>
      </c>
      <c r="N9" s="180">
        <f t="shared" si="3"/>
        <v>51.143009348665657</v>
      </c>
      <c r="O9" s="180">
        <f t="shared" si="3"/>
        <v>49.877800930972242</v>
      </c>
      <c r="P9" s="180">
        <f t="shared" si="3"/>
        <v>53.153981010065692</v>
      </c>
      <c r="Q9" s="180">
        <f t="shared" si="3"/>
        <v>50.646744216245665</v>
      </c>
      <c r="S9" s="2" t="s">
        <v>359</v>
      </c>
      <c r="T9" s="441">
        <f>1+T2</f>
        <v>0.995</v>
      </c>
      <c r="U9" s="441">
        <f>1+U2</f>
        <v>1</v>
      </c>
      <c r="V9" s="441">
        <f>1+V2</f>
        <v>0.995</v>
      </c>
    </row>
    <row r="10" spans="3:23" x14ac:dyDescent="0.2">
      <c r="C10" s="172"/>
      <c r="J10" s="15"/>
      <c r="K10" s="6"/>
      <c r="L10" s="6"/>
      <c r="M10" s="6"/>
      <c r="N10" s="6"/>
      <c r="O10" s="6"/>
      <c r="P10" s="6"/>
      <c r="Q10" s="6"/>
      <c r="S10" s="116" t="s">
        <v>339</v>
      </c>
      <c r="T10" s="180">
        <f>T8*T9</f>
        <v>580.09914596742487</v>
      </c>
      <c r="U10" s="180">
        <f>U8*U9</f>
        <v>583.01421705268831</v>
      </c>
      <c r="V10" s="180">
        <f>V8*V9</f>
        <v>580.09914596742487</v>
      </c>
    </row>
    <row r="11" spans="3:23" x14ac:dyDescent="0.2">
      <c r="C11" s="243" t="s">
        <v>333</v>
      </c>
      <c r="J11" s="178">
        <f>-J6</f>
        <v>616.00489153018725</v>
      </c>
      <c r="K11" s="179">
        <f t="shared" ref="K11:Q11" si="4">-K6</f>
        <v>559.21704810833887</v>
      </c>
      <c r="L11" s="179">
        <f t="shared" si="4"/>
        <v>539.68898392510016</v>
      </c>
      <c r="M11" s="179">
        <f t="shared" si="4"/>
        <v>661.76642270114144</v>
      </c>
      <c r="N11" s="179">
        <f t="shared" si="4"/>
        <v>604.07986059368943</v>
      </c>
      <c r="O11" s="179">
        <f t="shared" si="4"/>
        <v>559.16423940777736</v>
      </c>
      <c r="P11" s="179">
        <f t="shared" si="4"/>
        <v>488.82147638229026</v>
      </c>
      <c r="Q11" s="179">
        <f t="shared" si="4"/>
        <v>456.08002102199742</v>
      </c>
      <c r="S11" s="2" t="s">
        <v>340</v>
      </c>
      <c r="T11" s="179">
        <f>$Q$6</f>
        <v>-456.08002102199742</v>
      </c>
      <c r="U11" s="179">
        <f>$Q$6</f>
        <v>-456.08002102199742</v>
      </c>
      <c r="V11" s="179">
        <f>$Q$6</f>
        <v>-456.08002102199742</v>
      </c>
    </row>
    <row r="12" spans="3:23" x14ac:dyDescent="0.2">
      <c r="C12" s="243" t="s">
        <v>334</v>
      </c>
      <c r="J12" s="156">
        <f>CFS!J26</f>
        <v>-170.84460360209027</v>
      </c>
      <c r="K12" s="50">
        <f>CFS!K26</f>
        <v>-153.5664385421174</v>
      </c>
      <c r="L12" s="50">
        <f>CFS!L26</f>
        <v>-159.69337522752588</v>
      </c>
      <c r="M12" s="50">
        <f>CFS!M26</f>
        <v>-161.82973756973789</v>
      </c>
      <c r="N12" s="50">
        <f>CFS!N26</f>
        <v>-163.67815628625513</v>
      </c>
      <c r="O12" s="50">
        <f>CFS!O26</f>
        <v>-165.22866687707764</v>
      </c>
      <c r="P12" s="50">
        <f>CFS!P26</f>
        <v>-164.39560278681634</v>
      </c>
      <c r="Q12" s="50">
        <f>CFS!Q26</f>
        <v>-163.08177306097761</v>
      </c>
      <c r="S12" s="116" t="s">
        <v>341</v>
      </c>
      <c r="T12" s="180">
        <f>SUM(T10:T11)</f>
        <v>124.01912494542745</v>
      </c>
      <c r="U12" s="180">
        <f>SUM(U10:U11)</f>
        <v>126.93419603069088</v>
      </c>
      <c r="V12" s="180">
        <f>SUM(V10:V11)</f>
        <v>124.01912494542745</v>
      </c>
    </row>
    <row r="13" spans="3:23" x14ac:dyDescent="0.2">
      <c r="C13" s="243" t="s">
        <v>132</v>
      </c>
      <c r="J13" s="156">
        <f>-NWC!J17</f>
        <v>-115.66155173039147</v>
      </c>
      <c r="K13" s="50">
        <f>-NWC!K17</f>
        <v>81.001355418200035</v>
      </c>
      <c r="L13" s="50">
        <f>-NWC!L17</f>
        <v>2.200989791460529</v>
      </c>
      <c r="M13" s="50">
        <f>-NWC!M17</f>
        <v>13.35809503464435</v>
      </c>
      <c r="N13" s="50">
        <f>-NWC!N17</f>
        <v>13.459308498852636</v>
      </c>
      <c r="O13" s="50">
        <f>-NWC!O17</f>
        <v>13.549601963060809</v>
      </c>
      <c r="P13" s="50">
        <f>-NWC!P17</f>
        <v>18.624776245185501</v>
      </c>
      <c r="Q13" s="50">
        <f>-NWC!Q17</f>
        <v>18.674973349473703</v>
      </c>
      <c r="S13" s="2" t="s">
        <v>331</v>
      </c>
      <c r="T13" s="179">
        <f>-T12*$J$21</f>
        <v>-74.535494092201901</v>
      </c>
      <c r="U13" s="179">
        <f>-U12*$J$21</f>
        <v>-76.28745181444522</v>
      </c>
      <c r="V13" s="179">
        <f>-V12*$J$21</f>
        <v>-74.535494092201901</v>
      </c>
    </row>
    <row r="14" spans="3:23" x14ac:dyDescent="0.2">
      <c r="C14" s="109" t="s">
        <v>338</v>
      </c>
      <c r="D14" s="21"/>
      <c r="E14" s="21"/>
      <c r="F14" s="21"/>
      <c r="G14" s="21"/>
      <c r="H14" s="21"/>
      <c r="I14" s="21"/>
      <c r="J14" s="181">
        <f>SUM(J9:J13)</f>
        <v>410.79771789974848</v>
      </c>
      <c r="K14" s="180">
        <f t="shared" ref="K14:Q14" si="5">SUM(K9:K13)</f>
        <v>548.50365444805266</v>
      </c>
      <c r="L14" s="180">
        <f t="shared" si="5"/>
        <v>447.69074127358647</v>
      </c>
      <c r="M14" s="180">
        <f t="shared" si="5"/>
        <v>566.17829313271955</v>
      </c>
      <c r="N14" s="180">
        <f t="shared" si="5"/>
        <v>505.00402215495268</v>
      </c>
      <c r="O14" s="180">
        <f t="shared" si="5"/>
        <v>457.36297542473278</v>
      </c>
      <c r="P14" s="180">
        <f t="shared" si="5"/>
        <v>396.2046308507251</v>
      </c>
      <c r="Q14" s="180">
        <f t="shared" si="5"/>
        <v>362.31996552673922</v>
      </c>
      <c r="S14" s="116" t="s">
        <v>342</v>
      </c>
      <c r="T14" s="180">
        <f>SUM(T12:T13)</f>
        <v>49.483630853225549</v>
      </c>
      <c r="U14" s="180">
        <f>SUM(U12:U13)</f>
        <v>50.646744216245665</v>
      </c>
      <c r="V14" s="180">
        <f>SUM(V12:V13)</f>
        <v>49.483630853225549</v>
      </c>
    </row>
    <row r="15" spans="3:23" x14ac:dyDescent="0.2">
      <c r="C15" s="243"/>
      <c r="J15" s="59"/>
      <c r="S15" s="2" t="s">
        <v>340</v>
      </c>
      <c r="T15" s="179">
        <f>$Q$11</f>
        <v>456.08002102199742</v>
      </c>
      <c r="U15" s="179">
        <f>$Q$11</f>
        <v>456.08002102199742</v>
      </c>
      <c r="V15" s="179">
        <f>$Q$11</f>
        <v>456.08002102199742</v>
      </c>
    </row>
    <row r="16" spans="3:23" x14ac:dyDescent="0.2">
      <c r="C16" s="243" t="s">
        <v>346</v>
      </c>
      <c r="J16" s="442">
        <f t="shared" ref="J16:Q16" si="6">+DATE(J1,12,31)</f>
        <v>46022</v>
      </c>
      <c r="K16" s="443">
        <f t="shared" si="6"/>
        <v>46387</v>
      </c>
      <c r="L16" s="443">
        <f t="shared" si="6"/>
        <v>46752</v>
      </c>
      <c r="M16" s="443">
        <f t="shared" si="6"/>
        <v>47118</v>
      </c>
      <c r="N16" s="443">
        <f t="shared" si="6"/>
        <v>47483</v>
      </c>
      <c r="O16" s="443">
        <f t="shared" si="6"/>
        <v>47848</v>
      </c>
      <c r="P16" s="443">
        <f t="shared" si="6"/>
        <v>48213</v>
      </c>
      <c r="Q16" s="443">
        <f t="shared" si="6"/>
        <v>48579</v>
      </c>
      <c r="S16" s="2" t="s">
        <v>343</v>
      </c>
      <c r="T16" s="179">
        <f>$Q$12*T9</f>
        <v>-162.26636419567271</v>
      </c>
      <c r="U16" s="179">
        <f>$Q$12*U9</f>
        <v>-163.08177306097761</v>
      </c>
      <c r="V16" s="179">
        <f>$Q$12*V9</f>
        <v>-162.26636419567271</v>
      </c>
    </row>
    <row r="17" spans="3:22" x14ac:dyDescent="0.2">
      <c r="C17" s="109" t="s">
        <v>592</v>
      </c>
      <c r="D17" s="116"/>
      <c r="E17" s="116"/>
      <c r="F17" s="116"/>
      <c r="G17" s="116"/>
      <c r="H17" s="116"/>
      <c r="I17" s="116"/>
      <c r="J17" s="181">
        <f t="shared" ref="J17:Q17" ca="1" si="7">+J14/(1+$J$37)^((J16-TODAY())/365)</f>
        <v>399.64320023777884</v>
      </c>
      <c r="K17" s="180">
        <f t="shared" ca="1" si="7"/>
        <v>428.90280812365222</v>
      </c>
      <c r="L17" s="180">
        <f t="shared" ca="1" si="7"/>
        <v>281.3794883087877</v>
      </c>
      <c r="M17" s="180">
        <f t="shared" ca="1" si="7"/>
        <v>285.85289295747657</v>
      </c>
      <c r="N17" s="180">
        <f t="shared" ca="1" si="7"/>
        <v>204.93643288749823</v>
      </c>
      <c r="O17" s="180">
        <f t="shared" ca="1" si="7"/>
        <v>149.18333052999358</v>
      </c>
      <c r="P17" s="180">
        <f t="shared" ca="1" si="7"/>
        <v>103.87566086088786</v>
      </c>
      <c r="Q17" s="180">
        <f t="shared" ca="1" si="7"/>
        <v>76.30650688936565</v>
      </c>
      <c r="S17" s="2" t="s">
        <v>344</v>
      </c>
      <c r="T17" s="179">
        <f>$Q$13*T9</f>
        <v>18.581598482726335</v>
      </c>
      <c r="U17" s="179">
        <f>$Q$13*U9</f>
        <v>18.674973349473703</v>
      </c>
      <c r="V17" s="179">
        <f>$Q$13*V9</f>
        <v>18.581598482726335</v>
      </c>
    </row>
    <row r="18" spans="3:22" x14ac:dyDescent="0.2">
      <c r="C18" s="172" t="s">
        <v>593</v>
      </c>
      <c r="J18" s="343">
        <f t="shared" ref="J18:Q18" ca="1" si="8">+J14/(1+$K$37)^((J16-TODAY())/365)</f>
        <v>401.13881931013458</v>
      </c>
      <c r="K18" s="196">
        <f t="shared" ca="1" si="8"/>
        <v>443.45899109093108</v>
      </c>
      <c r="L18" s="196">
        <f t="shared" ca="1" si="8"/>
        <v>299.6810775004347</v>
      </c>
      <c r="M18" s="196">
        <f t="shared" ca="1" si="8"/>
        <v>313.62960819240493</v>
      </c>
      <c r="N18" s="196">
        <f t="shared" ca="1" si="8"/>
        <v>231.61460820404375</v>
      </c>
      <c r="O18" s="196">
        <f t="shared" ca="1" si="8"/>
        <v>173.67583054056217</v>
      </c>
      <c r="P18" s="196">
        <f t="shared" ca="1" si="8"/>
        <v>124.5676285565057</v>
      </c>
      <c r="Q18" s="196">
        <f t="shared" ca="1" si="8"/>
        <v>94.267187022423599</v>
      </c>
      <c r="S18" s="116" t="s">
        <v>345</v>
      </c>
      <c r="T18" s="180">
        <f>SUM(T14:T17)</f>
        <v>361.87888616227656</v>
      </c>
      <c r="U18" s="180">
        <f>SUM(U14:U17)</f>
        <v>362.31996552673922</v>
      </c>
      <c r="V18" s="180">
        <f>SUM(V14:V17)</f>
        <v>361.87888616227656</v>
      </c>
    </row>
    <row r="19" spans="3:22" x14ac:dyDescent="0.2">
      <c r="C19" s="172" t="s">
        <v>594</v>
      </c>
      <c r="J19" s="343">
        <f t="shared" ref="J19:Q19" ca="1" si="9">+J14/(1+$L$37)^((J16-TODAY())/365)</f>
        <v>402.68598200210664</v>
      </c>
      <c r="K19" s="196">
        <f t="shared" ca="1" si="9"/>
        <v>458.97688035558781</v>
      </c>
      <c r="L19" s="196">
        <f t="shared" ca="1" si="9"/>
        <v>319.78802157270093</v>
      </c>
      <c r="M19" s="196">
        <f t="shared" ca="1" si="9"/>
        <v>345.08159406176259</v>
      </c>
      <c r="N19" s="196">
        <f t="shared" ca="1" si="9"/>
        <v>262.74606036873547</v>
      </c>
      <c r="O19" s="196">
        <f t="shared" ca="1" si="9"/>
        <v>203.13051772947551</v>
      </c>
      <c r="P19" s="196">
        <f t="shared" ca="1" si="9"/>
        <v>150.21265184930638</v>
      </c>
      <c r="Q19" s="196">
        <f t="shared" ca="1" si="9"/>
        <v>117.20974838351516</v>
      </c>
      <c r="S19" s="18" t="s">
        <v>337</v>
      </c>
      <c r="T19" s="196">
        <f>T18/($K$37-T2)</f>
        <v>1700.6096786140588</v>
      </c>
      <c r="U19" s="196">
        <f>U18/($K$37-U2)</f>
        <v>1743.6530013472768</v>
      </c>
      <c r="V19" s="196">
        <f>V18/($K$37-V2)</f>
        <v>1700.6096786140588</v>
      </c>
    </row>
    <row r="20" spans="3:22" ht="13.5" thickBot="1" x14ac:dyDescent="0.25">
      <c r="J20" s="59"/>
      <c r="S20" s="52" t="s">
        <v>367</v>
      </c>
      <c r="T20" s="211">
        <f ca="1">+T19/(1+T5)^(($Q$16-TODAY())/365)</f>
        <v>358.15742024768082</v>
      </c>
      <c r="U20" s="211">
        <f t="shared" ref="U20:V20" ca="1" si="10">+U19/(1+U5)^(($Q$16-TODAY())/365)</f>
        <v>453.6577589403737</v>
      </c>
      <c r="V20" s="211">
        <f t="shared" ca="1" si="10"/>
        <v>550.14366166419279</v>
      </c>
    </row>
    <row r="21" spans="3:22" ht="13.5" thickTop="1" x14ac:dyDescent="0.2">
      <c r="C21" s="2" t="s">
        <v>335</v>
      </c>
      <c r="J21" s="302">
        <f>+IS!J37</f>
        <v>0.60099999999999998</v>
      </c>
    </row>
    <row r="22" spans="3:22" x14ac:dyDescent="0.2">
      <c r="J22" s="59"/>
      <c r="S22" s="305" t="s">
        <v>368</v>
      </c>
      <c r="T22" s="259"/>
      <c r="U22" s="259"/>
      <c r="V22" s="306"/>
    </row>
    <row r="23" spans="3:22" x14ac:dyDescent="0.2">
      <c r="C23" s="55" t="s">
        <v>356</v>
      </c>
      <c r="D23" s="60"/>
      <c r="E23" s="60"/>
      <c r="F23" s="60"/>
      <c r="G23" s="60"/>
      <c r="H23" s="60"/>
      <c r="I23" s="60"/>
      <c r="J23" s="55"/>
      <c r="K23" s="60"/>
      <c r="L23" s="61"/>
      <c r="M23" s="61"/>
      <c r="N23" s="61"/>
      <c r="O23" s="61"/>
      <c r="P23" s="61"/>
      <c r="Q23" s="62"/>
      <c r="S23" s="2" t="s">
        <v>369</v>
      </c>
      <c r="T23" s="179">
        <f ca="1">SUM(J17:Q17)</f>
        <v>1930.0803207954407</v>
      </c>
      <c r="U23" s="179">
        <f ca="1">SUM(J18:Q18)</f>
        <v>2082.0337504174404</v>
      </c>
      <c r="V23" s="179">
        <f ca="1">SUM(J19:Q19)</f>
        <v>2259.8314563231902</v>
      </c>
    </row>
    <row r="24" spans="3:22" x14ac:dyDescent="0.2">
      <c r="C24" s="116" t="s">
        <v>590</v>
      </c>
      <c r="D24" s="18"/>
      <c r="E24" s="18"/>
      <c r="F24" s="18"/>
      <c r="G24" s="18"/>
      <c r="H24" s="18"/>
      <c r="I24" s="18"/>
      <c r="J24" s="502" t="s">
        <v>427</v>
      </c>
      <c r="K24" s="267" t="s">
        <v>428</v>
      </c>
      <c r="L24" s="267" t="s">
        <v>347</v>
      </c>
      <c r="S24" s="2" t="s">
        <v>367</v>
      </c>
      <c r="T24" s="179">
        <f ca="1">T20</f>
        <v>358.15742024768082</v>
      </c>
      <c r="U24" s="179">
        <f ca="1">U20</f>
        <v>453.6577589403737</v>
      </c>
      <c r="V24" s="179">
        <f ca="1">V20</f>
        <v>550.14366166419279</v>
      </c>
    </row>
    <row r="25" spans="3:22" x14ac:dyDescent="0.2">
      <c r="C25" s="21" t="s">
        <v>352</v>
      </c>
      <c r="D25" s="116"/>
      <c r="E25" s="116"/>
      <c r="F25" s="116"/>
      <c r="G25" s="116"/>
      <c r="H25" s="116"/>
      <c r="I25" s="116"/>
      <c r="J25" s="489">
        <f>K25</f>
        <v>4.1099999999999998E-2</v>
      </c>
      <c r="K25" s="499">
        <v>4.1099999999999998E-2</v>
      </c>
      <c r="L25" s="498">
        <f>K25</f>
        <v>4.1099999999999998E-2</v>
      </c>
      <c r="S25" s="116" t="s">
        <v>370</v>
      </c>
      <c r="T25" s="180">
        <f ca="1">SUM(T23:T24)</f>
        <v>2288.2377410431213</v>
      </c>
      <c r="U25" s="180">
        <f ca="1">SUM(U23:U24)</f>
        <v>2535.6915093578141</v>
      </c>
      <c r="V25" s="180">
        <f ca="1">SUM(V23:V24)</f>
        <v>2809.9751179873829</v>
      </c>
    </row>
    <row r="26" spans="3:22" x14ac:dyDescent="0.2">
      <c r="C26" s="244" t="s">
        <v>353</v>
      </c>
      <c r="D26" s="244"/>
      <c r="E26" s="244"/>
      <c r="F26" s="244"/>
      <c r="G26" s="244"/>
      <c r="H26" s="244"/>
      <c r="I26" s="244"/>
      <c r="J26" s="497">
        <f>K26</f>
        <v>1.3782749999999999</v>
      </c>
      <c r="K26" s="487">
        <f>+'Forecast Assumptions'!F72</f>
        <v>1.3782749999999999</v>
      </c>
      <c r="L26" s="290">
        <f>K26</f>
        <v>1.3782749999999999</v>
      </c>
      <c r="S26" s="2" t="s">
        <v>420</v>
      </c>
      <c r="T26" s="179">
        <f>-$K$33</f>
        <v>-2708.7</v>
      </c>
      <c r="U26" s="179">
        <f>-$K$33</f>
        <v>-2708.7</v>
      </c>
      <c r="V26" s="179">
        <f>-$K$33</f>
        <v>-2708.7</v>
      </c>
    </row>
    <row r="27" spans="3:22" x14ac:dyDescent="0.2">
      <c r="C27" s="116" t="s">
        <v>354</v>
      </c>
      <c r="D27" s="116"/>
      <c r="E27" s="116"/>
      <c r="F27" s="116"/>
      <c r="G27" s="116"/>
      <c r="H27" s="116"/>
      <c r="I27" s="116"/>
      <c r="J27" s="492">
        <f>K27</f>
        <v>5.7500000000000002E-2</v>
      </c>
      <c r="K27" s="488">
        <f>+'Forecast Assumptions'!D57</f>
        <v>5.7500000000000002E-2</v>
      </c>
      <c r="L27" s="490">
        <f>K27</f>
        <v>5.7500000000000002E-2</v>
      </c>
      <c r="S27" s="2" t="s">
        <v>148</v>
      </c>
      <c r="T27" s="50">
        <f>+BS!$I$6</f>
        <v>555.1</v>
      </c>
      <c r="U27" s="50">
        <f>+BS!$I$6</f>
        <v>555.1</v>
      </c>
      <c r="V27" s="50">
        <f>+BS!$I$6</f>
        <v>555.1</v>
      </c>
    </row>
    <row r="28" spans="3:22" x14ac:dyDescent="0.2">
      <c r="C28" s="2" t="s">
        <v>381</v>
      </c>
      <c r="J28" s="493">
        <f t="shared" ref="J28:J30" si="11">K28</f>
        <v>5.5E-2</v>
      </c>
      <c r="K28" s="482">
        <f>AVERAGE('Forecast Assumptions'!D60:D61)</f>
        <v>5.5E-2</v>
      </c>
      <c r="L28" s="491">
        <f t="shared" ref="L28:L30" si="12">K28</f>
        <v>5.5E-2</v>
      </c>
      <c r="S28" s="116" t="s">
        <v>421</v>
      </c>
      <c r="T28" s="180">
        <f ca="1">+SUM(T25:T27)</f>
        <v>134.63774104312154</v>
      </c>
      <c r="U28" s="180">
        <f t="shared" ref="U28:V28" ca="1" si="13">+SUM(U25:U27)</f>
        <v>382.09150935781429</v>
      </c>
      <c r="V28" s="180">
        <f t="shared" ca="1" si="13"/>
        <v>656.37511798738308</v>
      </c>
    </row>
    <row r="29" spans="3:22" x14ac:dyDescent="0.2">
      <c r="C29" s="2" t="s">
        <v>382</v>
      </c>
      <c r="J29" s="493">
        <f t="shared" si="11"/>
        <v>8.5000000000000006E-2</v>
      </c>
      <c r="K29" s="482">
        <f>'Forecast Assumptions'!D64</f>
        <v>8.5000000000000006E-2</v>
      </c>
      <c r="L29" s="491">
        <f t="shared" si="12"/>
        <v>8.5000000000000006E-2</v>
      </c>
      <c r="S29" s="2" t="s">
        <v>422</v>
      </c>
      <c r="T29" s="50">
        <f>+'Trading Comps'!$R$10</f>
        <v>1465</v>
      </c>
      <c r="U29" s="50">
        <f>+'Trading Comps'!$R$10</f>
        <v>1465</v>
      </c>
      <c r="V29" s="50">
        <f>+'Trading Comps'!$R$10</f>
        <v>1465</v>
      </c>
    </row>
    <row r="30" spans="3:22" ht="13.5" thickBot="1" x14ac:dyDescent="0.25">
      <c r="C30" s="2" t="s">
        <v>419</v>
      </c>
      <c r="J30" s="493">
        <f t="shared" si="11"/>
        <v>8.0000000000000002E-3</v>
      </c>
      <c r="K30" s="482">
        <f>'Forecast Assumptions'!D67</f>
        <v>8.0000000000000002E-3</v>
      </c>
      <c r="L30" s="491">
        <f t="shared" si="12"/>
        <v>8.0000000000000002E-3</v>
      </c>
      <c r="S30" s="52" t="s">
        <v>423</v>
      </c>
      <c r="T30" s="444">
        <f ca="1">+T28/T29</f>
        <v>9.1902894909980576E-2</v>
      </c>
      <c r="U30" s="444">
        <f t="shared" ref="U30:V30" ca="1" si="14">+U28/U29</f>
        <v>0.26081331696779131</v>
      </c>
      <c r="V30" s="444">
        <f t="shared" ca="1" si="14"/>
        <v>0.4480376231995789</v>
      </c>
    </row>
    <row r="31" spans="3:22" ht="13.5" thickTop="1" x14ac:dyDescent="0.2">
      <c r="C31" s="116" t="s">
        <v>355</v>
      </c>
      <c r="D31" s="116"/>
      <c r="E31" s="116"/>
      <c r="F31" s="116"/>
      <c r="G31" s="116"/>
      <c r="H31" s="116"/>
      <c r="I31" s="116"/>
      <c r="J31" s="445">
        <f>J25+J26*J27+J28+J29+J30</f>
        <v>0.26835081250000004</v>
      </c>
      <c r="K31" s="485">
        <f>K25+K26*K27+K28+K29+K30</f>
        <v>0.26835081250000004</v>
      </c>
      <c r="L31" s="485">
        <f>L25+L26*L27+L28+L29+L30</f>
        <v>0.26835081250000004</v>
      </c>
    </row>
    <row r="32" spans="3:22" x14ac:dyDescent="0.2">
      <c r="C32" s="2" t="s">
        <v>405</v>
      </c>
      <c r="J32" s="493">
        <f>K32</f>
        <v>6.5468757226770244E-2</v>
      </c>
      <c r="K32" s="482">
        <f>-IS!I23/BS!I42</f>
        <v>6.5468757226770244E-2</v>
      </c>
      <c r="L32" s="491">
        <f>K32</f>
        <v>6.5468757226770244E-2</v>
      </c>
      <c r="S32" s="305" t="s">
        <v>371</v>
      </c>
      <c r="T32" s="259"/>
      <c r="U32" s="259"/>
      <c r="V32" s="306"/>
    </row>
    <row r="33" spans="3:22" x14ac:dyDescent="0.2">
      <c r="C33" s="2" t="s">
        <v>407</v>
      </c>
      <c r="J33" s="494">
        <f t="shared" ref="J33:J34" si="15">K33</f>
        <v>2708.7</v>
      </c>
      <c r="K33" s="50">
        <f>+BS!I32+BS!I33+BS!I38+BS!I39</f>
        <v>2708.7</v>
      </c>
      <c r="L33" s="25">
        <f t="shared" ref="L33:L34" si="16">K33</f>
        <v>2708.7</v>
      </c>
      <c r="S33" s="2" t="s">
        <v>372</v>
      </c>
      <c r="T33" s="176">
        <f ca="1">T23/T25</f>
        <v>0.84347892973550453</v>
      </c>
      <c r="U33" s="176">
        <f ca="1">U23/U25</f>
        <v>0.82109110778413796</v>
      </c>
      <c r="V33" s="176">
        <f ca="1">V23/V25</f>
        <v>0.804217603870376</v>
      </c>
    </row>
    <row r="34" spans="3:22" x14ac:dyDescent="0.2">
      <c r="C34" s="2" t="s">
        <v>406</v>
      </c>
      <c r="J34" s="494">
        <f t="shared" si="15"/>
        <v>146.5</v>
      </c>
      <c r="K34" s="50">
        <f>+'Trading Comps'!D15*'Trading Comps'!R10</f>
        <v>146.5</v>
      </c>
      <c r="L34" s="25">
        <f t="shared" si="16"/>
        <v>146.5</v>
      </c>
      <c r="S34" s="2" t="s">
        <v>373</v>
      </c>
      <c r="T34" s="176">
        <f ca="1">T24/T25</f>
        <v>0.15652107026449549</v>
      </c>
      <c r="U34" s="176">
        <f ca="1">U24/U25</f>
        <v>0.17890889221586204</v>
      </c>
      <c r="V34" s="176">
        <f ca="1">V24/V25</f>
        <v>0.19578239612962403</v>
      </c>
    </row>
    <row r="35" spans="3:22" x14ac:dyDescent="0.2">
      <c r="C35" s="2" t="s">
        <v>357</v>
      </c>
      <c r="J35" s="496">
        <v>0.9</v>
      </c>
      <c r="K35" s="483">
        <v>0.75</v>
      </c>
      <c r="L35" s="495">
        <v>0.6</v>
      </c>
      <c r="S35" s="116" t="s">
        <v>374</v>
      </c>
      <c r="T35" s="254">
        <f ca="1">SUM(T33:T34)</f>
        <v>1</v>
      </c>
      <c r="U35" s="254">
        <f ca="1">SUM(U33:U34)</f>
        <v>1</v>
      </c>
      <c r="V35" s="254">
        <f ca="1">SUM(V33:V34)</f>
        <v>1</v>
      </c>
    </row>
    <row r="36" spans="3:22" x14ac:dyDescent="0.2">
      <c r="C36" s="2" t="s">
        <v>358</v>
      </c>
      <c r="J36" s="496">
        <f>1-J35</f>
        <v>9.9999999999999978E-2</v>
      </c>
      <c r="K36" s="484">
        <f>1-K35</f>
        <v>0.25</v>
      </c>
      <c r="L36" s="495">
        <f>1-L35</f>
        <v>0.4</v>
      </c>
    </row>
    <row r="37" spans="3:22" ht="13.5" thickBot="1" x14ac:dyDescent="0.25">
      <c r="C37" s="52" t="s">
        <v>336</v>
      </c>
      <c r="D37" s="52"/>
      <c r="E37" s="52"/>
      <c r="F37" s="52"/>
      <c r="G37" s="52"/>
      <c r="H37" s="52"/>
      <c r="I37" s="52"/>
      <c r="J37" s="446">
        <f>+J31*J35+J32*J36*(1-$J$21)</f>
        <v>0.24412793466334817</v>
      </c>
      <c r="K37" s="486">
        <f>+K31*K35+K32*K36*(1-$J$21)</f>
        <v>0.20779361790837036</v>
      </c>
      <c r="L37" s="486">
        <f>+L31*L35+L32*L36*(1-$J$21)</f>
        <v>0.17145930115339256</v>
      </c>
      <c r="T37" s="447"/>
    </row>
    <row r="38" spans="3:22" ht="13.5" thickTop="1" x14ac:dyDescent="0.2">
      <c r="J38" s="59"/>
    </row>
    <row r="39" spans="3:22" x14ac:dyDescent="0.2">
      <c r="C39" s="55" t="s">
        <v>416</v>
      </c>
      <c r="D39" s="60"/>
      <c r="E39" s="60"/>
      <c r="F39" s="60"/>
      <c r="G39" s="60"/>
      <c r="H39" s="60"/>
      <c r="I39" s="60"/>
      <c r="J39" s="55" t="s">
        <v>68</v>
      </c>
      <c r="K39" s="60" t="s">
        <v>407</v>
      </c>
      <c r="L39" s="60" t="s">
        <v>411</v>
      </c>
      <c r="M39" s="260" t="s">
        <v>412</v>
      </c>
    </row>
    <row r="40" spans="3:22" x14ac:dyDescent="0.2">
      <c r="C40" s="84" t="s">
        <v>167</v>
      </c>
      <c r="J40" s="311">
        <v>1196.1646097453799</v>
      </c>
      <c r="K40" s="301">
        <v>1370.9</v>
      </c>
      <c r="L40" s="216">
        <f t="shared" ref="L40:L46" si="17">1-M40</f>
        <v>0.46596591500048923</v>
      </c>
      <c r="M40" s="216">
        <f t="shared" ref="M40:M46" si="18">K40/SUM(J40:K40)</f>
        <v>0.53403408499951077</v>
      </c>
    </row>
    <row r="41" spans="3:22" x14ac:dyDescent="0.2">
      <c r="C41" s="84" t="s">
        <v>168</v>
      </c>
      <c r="J41" s="311">
        <v>1429.406370405</v>
      </c>
      <c r="K41" s="301">
        <v>803.3</v>
      </c>
      <c r="L41" s="216">
        <f t="shared" si="17"/>
        <v>0.64021242979018056</v>
      </c>
      <c r="M41" s="216">
        <f t="shared" si="18"/>
        <v>0.35978757020981944</v>
      </c>
    </row>
    <row r="42" spans="3:22" x14ac:dyDescent="0.2">
      <c r="C42" s="84" t="s">
        <v>408</v>
      </c>
      <c r="J42" s="311">
        <v>2435.9869768205099</v>
      </c>
      <c r="K42" s="301">
        <v>3284.7109999999998</v>
      </c>
      <c r="L42" s="216">
        <f t="shared" si="17"/>
        <v>0.42581988888258004</v>
      </c>
      <c r="M42" s="216">
        <f t="shared" si="18"/>
        <v>0.57418011111741996</v>
      </c>
    </row>
    <row r="43" spans="3:22" x14ac:dyDescent="0.2">
      <c r="C43" s="84" t="s">
        <v>409</v>
      </c>
      <c r="J43" s="311">
        <v>2099.1941466200001</v>
      </c>
      <c r="K43" s="301">
        <v>2369.2939999999999</v>
      </c>
      <c r="L43" s="216">
        <f t="shared" si="17"/>
        <v>0.46977726643581841</v>
      </c>
      <c r="M43" s="216">
        <f t="shared" si="18"/>
        <v>0.53022273356418159</v>
      </c>
    </row>
    <row r="44" spans="3:22" x14ac:dyDescent="0.2">
      <c r="C44" s="84" t="s">
        <v>169</v>
      </c>
      <c r="J44" s="311">
        <v>209.593349367804</v>
      </c>
      <c r="K44" s="301">
        <v>263.45144521767503</v>
      </c>
      <c r="L44" s="216">
        <f t="shared" si="17"/>
        <v>0.4430729431268069</v>
      </c>
      <c r="M44" s="216">
        <f t="shared" si="18"/>
        <v>0.5569270568731931</v>
      </c>
    </row>
    <row r="45" spans="3:22" x14ac:dyDescent="0.2">
      <c r="C45" s="84" t="s">
        <v>166</v>
      </c>
      <c r="J45" s="311">
        <v>178.28565004227099</v>
      </c>
      <c r="K45" s="301">
        <v>673.51800000000003</v>
      </c>
      <c r="L45" s="216">
        <f t="shared" si="17"/>
        <v>0.20930369344322897</v>
      </c>
      <c r="M45" s="216">
        <f t="shared" si="18"/>
        <v>0.79069630655677103</v>
      </c>
    </row>
    <row r="46" spans="3:22" x14ac:dyDescent="0.2">
      <c r="C46" s="84" t="s">
        <v>410</v>
      </c>
      <c r="J46" s="311">
        <v>177.45697255110099</v>
      </c>
      <c r="K46" s="301">
        <v>2708.7</v>
      </c>
      <c r="L46" s="216">
        <f t="shared" si="17"/>
        <v>6.1485558214196878E-2</v>
      </c>
      <c r="M46" s="216">
        <f t="shared" si="18"/>
        <v>0.93851444178580312</v>
      </c>
    </row>
    <row r="47" spans="3:22" x14ac:dyDescent="0.2">
      <c r="C47" s="2" t="s">
        <v>417</v>
      </c>
      <c r="J47" s="59" t="s">
        <v>415</v>
      </c>
      <c r="K47" s="2" t="s">
        <v>152</v>
      </c>
      <c r="L47" s="2" t="s">
        <v>413</v>
      </c>
      <c r="M47" s="2" t="s">
        <v>414</v>
      </c>
    </row>
    <row r="48" spans="3:22" x14ac:dyDescent="0.2">
      <c r="C48" s="21" t="s">
        <v>418</v>
      </c>
      <c r="D48" s="21"/>
      <c r="E48" s="21"/>
      <c r="F48" s="21"/>
      <c r="G48" s="21"/>
      <c r="H48" s="21"/>
      <c r="I48" s="21"/>
      <c r="J48" s="448">
        <f>AVERAGE(M40:M45)</f>
        <v>0.55764131055348265</v>
      </c>
      <c r="K48" s="322">
        <f>+MEDIAN(M40:M45)</f>
        <v>0.54548057093635194</v>
      </c>
      <c r="L48" s="322">
        <f>+_xlfn.PERCENTILE.INC(M40:M45,0.25)</f>
        <v>0.53117557142301386</v>
      </c>
      <c r="M48" s="322">
        <f>+_xlfn.PERCENTILE.INC(M40:M45,0.75)</f>
        <v>0.5698668475563633</v>
      </c>
    </row>
  </sheetData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67EC3-AFF0-4D86-A0EF-6639286A1611}">
  <sheetPr>
    <tabColor theme="4" tint="-0.249977111117893"/>
  </sheetPr>
  <dimension ref="B1:AD85"/>
  <sheetViews>
    <sheetView showGridLines="0" workbookViewId="0"/>
  </sheetViews>
  <sheetFormatPr defaultColWidth="9.140625" defaultRowHeight="15" customHeight="1" outlineLevelCol="1" x14ac:dyDescent="0.2"/>
  <cols>
    <col min="1" max="2" width="1.5703125" style="390" customWidth="1"/>
    <col min="3" max="3" width="1.5703125" style="390" hidden="1" customWidth="1" outlineLevel="1"/>
    <col min="4" max="4" width="50.140625" style="390" bestFit="1" customWidth="1" collapsed="1"/>
    <col min="5" max="5" width="1.7109375" style="390" customWidth="1"/>
    <col min="6" max="6" width="9.85546875" style="390" customWidth="1"/>
    <col min="7" max="7" width="1.7109375" style="390" customWidth="1"/>
    <col min="8" max="10" width="10.42578125" style="390" customWidth="1"/>
    <col min="11" max="11" width="1.7109375" style="390" customWidth="1"/>
    <col min="12" max="14" width="10.42578125" style="390" customWidth="1"/>
    <col min="15" max="16" width="10.42578125" style="390" hidden="1" customWidth="1" outlineLevel="1"/>
    <col min="17" max="17" width="9.140625" style="390" collapsed="1"/>
    <col min="18" max="18" width="64.5703125" style="390" bestFit="1" customWidth="1"/>
    <col min="19" max="24" width="15.5703125" style="390" customWidth="1"/>
    <col min="25" max="25" width="9.140625" style="390" bestFit="1" customWidth="1"/>
    <col min="26" max="16384" width="9.140625" style="390"/>
  </cols>
  <sheetData>
    <row r="1" spans="2:26" s="381" customFormat="1" ht="15" customHeight="1" x14ac:dyDescent="0.2"/>
    <row r="2" spans="2:26" s="382" customFormat="1" ht="15" customHeight="1" x14ac:dyDescent="0.2">
      <c r="D2" s="383" t="s">
        <v>435</v>
      </c>
      <c r="E2" s="383"/>
      <c r="F2" s="383"/>
      <c r="G2" s="383"/>
      <c r="H2" s="383"/>
      <c r="I2" s="383"/>
      <c r="J2" s="383"/>
      <c r="K2" s="383"/>
      <c r="L2" s="383"/>
      <c r="M2" s="383"/>
    </row>
    <row r="3" spans="2:26" s="384" customFormat="1" ht="5.0999999999999996" customHeight="1" x14ac:dyDescent="0.2">
      <c r="D3" s="6"/>
      <c r="E3" s="6"/>
      <c r="F3" s="6"/>
      <c r="G3" s="6"/>
      <c r="H3" s="6"/>
      <c r="I3" s="6"/>
      <c r="J3" s="6"/>
      <c r="K3" s="6"/>
      <c r="L3" s="6"/>
      <c r="N3" s="385"/>
      <c r="O3" s="385"/>
      <c r="P3" s="385"/>
    </row>
    <row r="4" spans="2:26" ht="15" customHeight="1" x14ac:dyDescent="0.2">
      <c r="B4" s="386"/>
      <c r="C4" s="386"/>
      <c r="D4" s="387" t="s">
        <v>436</v>
      </c>
      <c r="E4" s="258"/>
      <c r="F4" s="258"/>
      <c r="G4" s="258"/>
      <c r="H4" s="258"/>
      <c r="I4" s="258"/>
      <c r="J4" s="258"/>
      <c r="K4" s="258"/>
      <c r="L4" s="388"/>
      <c r="M4" s="388"/>
      <c r="N4" s="389"/>
      <c r="O4" s="388"/>
      <c r="P4" s="389"/>
      <c r="R4" s="387" t="s">
        <v>508</v>
      </c>
      <c r="S4" s="258"/>
      <c r="T4" s="258"/>
      <c r="U4" s="258"/>
      <c r="V4" s="258"/>
      <c r="W4" s="304"/>
      <c r="Y4" s="258" t="s">
        <v>602</v>
      </c>
      <c r="Z4" s="258" t="s">
        <v>282</v>
      </c>
    </row>
    <row r="5" spans="2:26" ht="15" customHeight="1" x14ac:dyDescent="0.2">
      <c r="Y5" s="390" cm="1">
        <f t="array" ref="Y5:Y7">_xlfn.UNIQUE(T7:T19)</f>
        <v>1</v>
      </c>
      <c r="Z5" s="390">
        <f>SUMIFS($S$7:$S$19,$T$7:$T$19,Y5)</f>
        <v>1975.8000000000002</v>
      </c>
    </row>
    <row r="6" spans="2:26" ht="15" customHeight="1" x14ac:dyDescent="0.2">
      <c r="C6" s="391" t="s">
        <v>458</v>
      </c>
      <c r="D6" s="392" t="s">
        <v>459</v>
      </c>
      <c r="E6" s="393"/>
      <c r="F6" s="394" t="s">
        <v>437</v>
      </c>
      <c r="G6" s="423"/>
      <c r="H6" s="516" t="s">
        <v>425</v>
      </c>
      <c r="I6" s="516"/>
      <c r="J6" s="516"/>
      <c r="K6" s="395"/>
      <c r="L6" s="517" t="s">
        <v>426</v>
      </c>
      <c r="M6" s="517"/>
      <c r="N6" s="517"/>
      <c r="O6" s="396"/>
      <c r="P6" s="397"/>
      <c r="R6" s="398" t="s">
        <v>511</v>
      </c>
      <c r="S6" s="398" t="s">
        <v>514</v>
      </c>
      <c r="T6" s="398" t="s">
        <v>515</v>
      </c>
      <c r="U6" s="398" t="s">
        <v>491</v>
      </c>
      <c r="V6" s="398"/>
      <c r="W6" s="398" t="s">
        <v>512</v>
      </c>
      <c r="Y6" s="390">
        <v>2</v>
      </c>
      <c r="Z6" s="390">
        <f t="shared" ref="Z6:Z7" si="0">SUMIFS($S$7:$S$19,$T$7:$T$19,Y6)</f>
        <v>521.1</v>
      </c>
    </row>
    <row r="7" spans="2:26" ht="15" customHeight="1" x14ac:dyDescent="0.2">
      <c r="C7" s="391"/>
      <c r="D7" s="384"/>
      <c r="F7" s="468"/>
      <c r="H7" s="397" t="s">
        <v>427</v>
      </c>
      <c r="I7" s="397" t="s">
        <v>428</v>
      </c>
      <c r="J7" s="397" t="s">
        <v>347</v>
      </c>
      <c r="K7" s="393"/>
      <c r="L7" s="397" t="s">
        <v>427</v>
      </c>
      <c r="M7" s="397" t="s">
        <v>428</v>
      </c>
      <c r="N7" s="397" t="s">
        <v>347</v>
      </c>
      <c r="O7" s="399"/>
      <c r="R7" s="400" t="s">
        <v>516</v>
      </c>
      <c r="S7" s="401">
        <f>+F24</f>
        <v>589.4</v>
      </c>
      <c r="T7" s="402">
        <v>1</v>
      </c>
      <c r="U7" s="390" t="s">
        <v>558</v>
      </c>
      <c r="W7" s="6" t="s">
        <v>492</v>
      </c>
      <c r="X7" s="390" t="s">
        <v>246</v>
      </c>
      <c r="Y7" s="390">
        <v>3</v>
      </c>
      <c r="Z7" s="390">
        <f t="shared" si="0"/>
        <v>1414.3000000000002</v>
      </c>
    </row>
    <row r="8" spans="2:26" ht="15" customHeight="1" x14ac:dyDescent="0.2">
      <c r="C8" s="391"/>
      <c r="D8" s="392" t="s">
        <v>431</v>
      </c>
      <c r="F8" s="403"/>
      <c r="H8" s="403"/>
      <c r="I8" s="403"/>
      <c r="J8" s="403"/>
      <c r="K8" s="403"/>
      <c r="L8" s="403"/>
      <c r="M8" s="403"/>
      <c r="O8" s="399"/>
      <c r="R8" s="400" t="s">
        <v>517</v>
      </c>
      <c r="S8" s="401">
        <f>+F32</f>
        <v>1386.4</v>
      </c>
      <c r="T8" s="402">
        <v>1</v>
      </c>
      <c r="U8" s="390" t="s">
        <v>558</v>
      </c>
      <c r="W8" s="6" t="s">
        <v>493</v>
      </c>
      <c r="X8" s="390" t="s">
        <v>246</v>
      </c>
    </row>
    <row r="9" spans="2:26" ht="15" customHeight="1" x14ac:dyDescent="0.2">
      <c r="C9" s="384" t="s">
        <v>148</v>
      </c>
      <c r="D9" s="404" t="s">
        <v>460</v>
      </c>
      <c r="F9" s="405">
        <f>BS!I6</f>
        <v>555.1</v>
      </c>
      <c r="H9" s="360">
        <v>0.96</v>
      </c>
      <c r="I9" s="360">
        <v>0.98</v>
      </c>
      <c r="J9" s="360">
        <v>1</v>
      </c>
      <c r="K9" s="401"/>
      <c r="L9" s="401">
        <f>+$F9*H9</f>
        <v>532.89599999999996</v>
      </c>
      <c r="M9" s="401">
        <f t="shared" ref="M9:M13" si="1">+$F9*I9</f>
        <v>543.99800000000005</v>
      </c>
      <c r="N9" s="401">
        <f t="shared" ref="N9:N13" si="2">+$F9*J9</f>
        <v>555.1</v>
      </c>
      <c r="O9" s="399" t="s">
        <v>447</v>
      </c>
      <c r="P9" s="401" t="s">
        <v>472</v>
      </c>
      <c r="R9" s="400" t="s">
        <v>518</v>
      </c>
      <c r="S9" s="401">
        <f>+F25</f>
        <v>175.3</v>
      </c>
      <c r="T9" s="402">
        <v>2</v>
      </c>
      <c r="U9" s="390" t="s">
        <v>559</v>
      </c>
      <c r="W9" s="6" t="s">
        <v>494</v>
      </c>
      <c r="X9" s="390" t="s">
        <v>246</v>
      </c>
    </row>
    <row r="10" spans="2:26" ht="15" customHeight="1" x14ac:dyDescent="0.2">
      <c r="C10" s="384" t="s">
        <v>39</v>
      </c>
      <c r="D10" s="390" t="s">
        <v>456</v>
      </c>
      <c r="F10" s="402">
        <v>137.9</v>
      </c>
      <c r="H10" s="360">
        <v>0.5</v>
      </c>
      <c r="I10" s="360">
        <v>0.75</v>
      </c>
      <c r="J10" s="360">
        <v>0.9</v>
      </c>
      <c r="K10" s="406"/>
      <c r="L10" s="401">
        <f t="shared" ref="L10:L13" si="3">+$F10*H10</f>
        <v>68.95</v>
      </c>
      <c r="M10" s="401">
        <f t="shared" si="1"/>
        <v>103.42500000000001</v>
      </c>
      <c r="N10" s="401">
        <f t="shared" si="2"/>
        <v>124.11000000000001</v>
      </c>
      <c r="O10" s="399" t="s">
        <v>447</v>
      </c>
      <c r="P10" s="401" t="s">
        <v>473</v>
      </c>
      <c r="R10" s="400" t="s">
        <v>507</v>
      </c>
      <c r="S10" s="401">
        <f>+F28</f>
        <v>24.3</v>
      </c>
      <c r="T10" s="402">
        <v>2</v>
      </c>
      <c r="U10" s="390" t="s">
        <v>560</v>
      </c>
      <c r="W10" s="6" t="s">
        <v>495</v>
      </c>
      <c r="X10" s="390" t="s">
        <v>246</v>
      </c>
    </row>
    <row r="11" spans="2:26" ht="15" customHeight="1" x14ac:dyDescent="0.2">
      <c r="C11" s="384"/>
      <c r="D11" s="390" t="s">
        <v>457</v>
      </c>
      <c r="F11" s="402">
        <v>357.09999999999997</v>
      </c>
      <c r="H11" s="360">
        <v>0.4</v>
      </c>
      <c r="I11" s="360">
        <v>0.6</v>
      </c>
      <c r="J11" s="360">
        <v>0.8</v>
      </c>
      <c r="K11" s="406"/>
      <c r="L11" s="401">
        <f t="shared" si="3"/>
        <v>142.84</v>
      </c>
      <c r="M11" s="401">
        <f t="shared" si="1"/>
        <v>214.25999999999996</v>
      </c>
      <c r="N11" s="401">
        <f t="shared" si="2"/>
        <v>285.68</v>
      </c>
      <c r="O11" s="399" t="s">
        <v>447</v>
      </c>
      <c r="P11" s="401" t="s">
        <v>474</v>
      </c>
      <c r="R11" s="400" t="s">
        <v>519</v>
      </c>
      <c r="S11" s="401">
        <f>+F35</f>
        <v>321.5</v>
      </c>
      <c r="T11" s="402">
        <v>2</v>
      </c>
      <c r="U11" s="390" t="s">
        <v>560</v>
      </c>
      <c r="W11" s="6" t="s">
        <v>496</v>
      </c>
      <c r="X11" s="390" t="s">
        <v>246</v>
      </c>
    </row>
    <row r="12" spans="2:26" ht="15" customHeight="1" x14ac:dyDescent="0.2">
      <c r="C12" s="384" t="s">
        <v>429</v>
      </c>
      <c r="D12" s="384" t="s">
        <v>41</v>
      </c>
      <c r="F12" s="405">
        <f>BS!I13</f>
        <v>132.4</v>
      </c>
      <c r="H12" s="360">
        <v>0.4</v>
      </c>
      <c r="I12" s="360">
        <v>0.6</v>
      </c>
      <c r="J12" s="360">
        <v>0.8</v>
      </c>
      <c r="K12" s="406"/>
      <c r="L12" s="401">
        <f t="shared" si="3"/>
        <v>52.960000000000008</v>
      </c>
      <c r="M12" s="401">
        <f t="shared" si="1"/>
        <v>79.44</v>
      </c>
      <c r="N12" s="401">
        <f t="shared" si="2"/>
        <v>105.92000000000002</v>
      </c>
      <c r="O12" s="399" t="s">
        <v>447</v>
      </c>
      <c r="P12" s="401" t="s">
        <v>475</v>
      </c>
      <c r="R12" s="400" t="s">
        <v>522</v>
      </c>
      <c r="S12" s="401">
        <f>+F22</f>
        <v>75.7</v>
      </c>
      <c r="T12" s="402">
        <v>3</v>
      </c>
      <c r="U12" s="390" t="s">
        <v>498</v>
      </c>
      <c r="W12" s="6" t="s">
        <v>497</v>
      </c>
      <c r="X12" s="390" t="s">
        <v>246</v>
      </c>
    </row>
    <row r="13" spans="2:26" ht="15" customHeight="1" x14ac:dyDescent="0.2">
      <c r="C13" s="384" t="s">
        <v>43</v>
      </c>
      <c r="D13" s="384" t="s">
        <v>43</v>
      </c>
      <c r="F13" s="405">
        <f>BS!I15</f>
        <v>24.7</v>
      </c>
      <c r="H13" s="360">
        <v>0</v>
      </c>
      <c r="I13" s="360">
        <v>0.25</v>
      </c>
      <c r="J13" s="360">
        <v>0.5</v>
      </c>
      <c r="K13" s="406"/>
      <c r="L13" s="401">
        <f t="shared" si="3"/>
        <v>0</v>
      </c>
      <c r="M13" s="401">
        <f t="shared" si="1"/>
        <v>6.1749999999999998</v>
      </c>
      <c r="N13" s="401">
        <f t="shared" si="2"/>
        <v>12.35</v>
      </c>
      <c r="O13" s="399" t="s">
        <v>444</v>
      </c>
      <c r="P13" s="401" t="s">
        <v>476</v>
      </c>
      <c r="R13" s="400" t="s">
        <v>523</v>
      </c>
      <c r="S13" s="401">
        <f>F23</f>
        <v>373.8</v>
      </c>
      <c r="T13" s="402">
        <v>3</v>
      </c>
      <c r="U13" s="390" t="s">
        <v>561</v>
      </c>
      <c r="W13" s="6" t="s">
        <v>499</v>
      </c>
      <c r="X13" s="390" t="s">
        <v>246</v>
      </c>
    </row>
    <row r="14" spans="2:26" ht="15" customHeight="1" x14ac:dyDescent="0.2">
      <c r="C14" s="391"/>
      <c r="D14" s="391" t="s">
        <v>113</v>
      </c>
      <c r="F14" s="407">
        <f>+SUM(F9:F13)</f>
        <v>1207.2</v>
      </c>
      <c r="H14" s="408"/>
      <c r="I14" s="408"/>
      <c r="J14" s="408"/>
      <c r="K14" s="401"/>
      <c r="L14" s="407">
        <f>+SUM(L9:L13)</f>
        <v>797.64600000000007</v>
      </c>
      <c r="M14" s="407">
        <f>+SUM(M9:M13)</f>
        <v>947.298</v>
      </c>
      <c r="N14" s="407">
        <f>+SUM(N9:N13)</f>
        <v>1083.1600000000001</v>
      </c>
      <c r="O14" s="399"/>
      <c r="P14" s="409"/>
      <c r="R14" s="400" t="s">
        <v>469</v>
      </c>
      <c r="S14" s="401">
        <f>F26</f>
        <v>96.8</v>
      </c>
      <c r="T14" s="402">
        <v>3</v>
      </c>
      <c r="U14" s="390" t="s">
        <v>498</v>
      </c>
      <c r="W14" s="6" t="s">
        <v>500</v>
      </c>
      <c r="X14" s="390" t="s">
        <v>246</v>
      </c>
    </row>
    <row r="15" spans="2:26" ht="15" customHeight="1" x14ac:dyDescent="0.2">
      <c r="C15" s="391"/>
      <c r="D15" s="391"/>
      <c r="F15" s="409"/>
      <c r="H15" s="408"/>
      <c r="I15" s="408"/>
      <c r="J15" s="408"/>
      <c r="K15" s="401"/>
      <c r="L15" s="409"/>
      <c r="M15" s="409"/>
      <c r="N15" s="409"/>
      <c r="O15" s="399"/>
      <c r="P15" s="409"/>
      <c r="R15" s="400" t="s">
        <v>470</v>
      </c>
      <c r="S15" s="401">
        <f>F27</f>
        <v>38.299999999999997</v>
      </c>
      <c r="T15" s="402">
        <v>3</v>
      </c>
      <c r="U15" s="390" t="s">
        <v>561</v>
      </c>
      <c r="W15" s="6" t="s">
        <v>501</v>
      </c>
      <c r="X15" s="390" t="s">
        <v>246</v>
      </c>
    </row>
    <row r="16" spans="2:26" ht="15" customHeight="1" x14ac:dyDescent="0.2">
      <c r="C16" s="384"/>
      <c r="D16" s="384" t="s">
        <v>430</v>
      </c>
      <c r="F16" s="410">
        <f>BS!I20</f>
        <v>2324.1000000000004</v>
      </c>
      <c r="H16" s="360">
        <v>0.1</v>
      </c>
      <c r="I16" s="360">
        <v>0.3</v>
      </c>
      <c r="J16" s="360">
        <v>0.5</v>
      </c>
      <c r="K16" s="411"/>
      <c r="L16" s="401">
        <f t="shared" ref="L16:L18" si="4">+$F16*H16</f>
        <v>232.41000000000005</v>
      </c>
      <c r="M16" s="401">
        <f t="shared" ref="M16:M18" si="5">+$F16*I16</f>
        <v>697.23000000000013</v>
      </c>
      <c r="N16" s="401">
        <f t="shared" ref="N16:N18" si="6">+$F16*J16</f>
        <v>1162.0500000000002</v>
      </c>
      <c r="O16" s="399" t="s">
        <v>447</v>
      </c>
      <c r="P16" s="401" t="s">
        <v>477</v>
      </c>
      <c r="R16" s="400" t="s">
        <v>506</v>
      </c>
      <c r="S16" s="401">
        <f>F29</f>
        <v>11.9</v>
      </c>
      <c r="T16" s="402">
        <v>3</v>
      </c>
      <c r="U16" s="390" t="s">
        <v>561</v>
      </c>
      <c r="W16" s="6" t="s">
        <v>502</v>
      </c>
      <c r="X16" s="390" t="s">
        <v>246</v>
      </c>
    </row>
    <row r="17" spans="3:27" ht="15" customHeight="1" x14ac:dyDescent="0.2">
      <c r="C17" s="384" t="s">
        <v>49</v>
      </c>
      <c r="D17" s="390" t="s">
        <v>461</v>
      </c>
      <c r="F17" s="403">
        <v>333.1</v>
      </c>
      <c r="H17" s="360">
        <v>0.4</v>
      </c>
      <c r="I17" s="360">
        <v>0.6</v>
      </c>
      <c r="J17" s="360">
        <v>0.8</v>
      </c>
      <c r="K17" s="411"/>
      <c r="L17" s="401">
        <f t="shared" si="4"/>
        <v>133.24</v>
      </c>
      <c r="M17" s="401">
        <f t="shared" si="5"/>
        <v>199.86</v>
      </c>
      <c r="N17" s="401">
        <f t="shared" si="6"/>
        <v>266.48</v>
      </c>
      <c r="O17" s="399" t="s">
        <v>447</v>
      </c>
      <c r="P17" s="401" t="s">
        <v>478</v>
      </c>
      <c r="R17" s="400" t="s">
        <v>521</v>
      </c>
      <c r="S17" s="401">
        <f>F33</f>
        <v>581</v>
      </c>
      <c r="T17" s="402">
        <v>3</v>
      </c>
      <c r="U17" s="390" t="s">
        <v>498</v>
      </c>
      <c r="W17" s="6" t="s">
        <v>503</v>
      </c>
      <c r="X17" s="390" t="s">
        <v>246</v>
      </c>
    </row>
    <row r="18" spans="3:27" ht="15" customHeight="1" x14ac:dyDescent="0.2">
      <c r="C18" s="384"/>
      <c r="D18" s="390" t="s">
        <v>462</v>
      </c>
      <c r="F18" s="403">
        <v>7.7</v>
      </c>
      <c r="H18" s="360">
        <v>0.4</v>
      </c>
      <c r="I18" s="360">
        <v>0.6</v>
      </c>
      <c r="J18" s="360">
        <v>0.9</v>
      </c>
      <c r="K18" s="411"/>
      <c r="L18" s="401">
        <f t="shared" si="4"/>
        <v>3.08</v>
      </c>
      <c r="M18" s="401">
        <f t="shared" si="5"/>
        <v>4.62</v>
      </c>
      <c r="N18" s="401">
        <f t="shared" si="6"/>
        <v>6.9300000000000006</v>
      </c>
      <c r="O18" s="399" t="s">
        <v>447</v>
      </c>
      <c r="P18" s="401" t="s">
        <v>479</v>
      </c>
      <c r="R18" s="400" t="s">
        <v>520</v>
      </c>
      <c r="S18" s="401">
        <f>F34</f>
        <v>151.9</v>
      </c>
      <c r="T18" s="402">
        <v>3</v>
      </c>
      <c r="U18" s="390" t="s">
        <v>498</v>
      </c>
      <c r="W18" s="6" t="s">
        <v>504</v>
      </c>
      <c r="X18" s="390" t="s">
        <v>246</v>
      </c>
    </row>
    <row r="19" spans="3:27" ht="15" customHeight="1" thickBot="1" x14ac:dyDescent="0.25">
      <c r="C19" s="412"/>
      <c r="D19" s="391" t="s">
        <v>50</v>
      </c>
      <c r="F19" s="413">
        <f>SUM(F14:F18)</f>
        <v>3872.1</v>
      </c>
      <c r="H19" s="414"/>
      <c r="I19" s="414"/>
      <c r="J19" s="414"/>
      <c r="K19" s="415"/>
      <c r="L19" s="413">
        <f t="shared" ref="L19:N19" si="7">SUM(L14:L18)</f>
        <v>1166.376</v>
      </c>
      <c r="M19" s="413">
        <f t="shared" si="7"/>
        <v>1849.0080000000003</v>
      </c>
      <c r="N19" s="413">
        <f t="shared" si="7"/>
        <v>2518.62</v>
      </c>
      <c r="O19" s="399"/>
      <c r="P19" s="415"/>
      <c r="R19" s="400" t="s">
        <v>471</v>
      </c>
      <c r="S19" s="401">
        <f>F36</f>
        <v>84.9</v>
      </c>
      <c r="T19" s="402">
        <v>3</v>
      </c>
      <c r="U19" s="390" t="s">
        <v>498</v>
      </c>
      <c r="W19" s="6" t="s">
        <v>505</v>
      </c>
      <c r="X19" s="390" t="s">
        <v>246</v>
      </c>
    </row>
    <row r="20" spans="3:27" ht="15" customHeight="1" thickTop="1" x14ac:dyDescent="0.2">
      <c r="C20" s="384"/>
      <c r="D20" s="391"/>
      <c r="F20" s="403"/>
      <c r="H20" s="416"/>
      <c r="I20" s="416"/>
      <c r="J20" s="416"/>
      <c r="K20" s="417"/>
      <c r="L20" s="417"/>
      <c r="M20" s="417"/>
      <c r="O20" s="399"/>
    </row>
    <row r="21" spans="3:27" ht="15" customHeight="1" x14ac:dyDescent="0.2">
      <c r="C21" s="384"/>
      <c r="D21" s="392" t="s">
        <v>432</v>
      </c>
      <c r="F21" s="403"/>
      <c r="H21" s="416"/>
      <c r="I21" s="416"/>
      <c r="J21" s="416"/>
      <c r="K21" s="417"/>
      <c r="L21" s="417"/>
      <c r="M21" s="417"/>
      <c r="O21" s="399"/>
      <c r="R21" s="387" t="s">
        <v>524</v>
      </c>
      <c r="S21" s="258"/>
      <c r="T21" s="258"/>
      <c r="U21" s="258"/>
      <c r="V21" s="258"/>
      <c r="W21" s="258"/>
      <c r="X21" s="304"/>
    </row>
    <row r="22" spans="3:27" ht="15" customHeight="1" x14ac:dyDescent="0.2">
      <c r="C22" s="384" t="s">
        <v>51</v>
      </c>
      <c r="D22" s="384" t="s">
        <v>463</v>
      </c>
      <c r="F22" s="410">
        <f>BS!I29</f>
        <v>75.7</v>
      </c>
      <c r="H22" s="470">
        <f>V34</f>
        <v>0</v>
      </c>
      <c r="I22" s="470">
        <f t="shared" ref="I22:J22" si="8">W34</f>
        <v>0</v>
      </c>
      <c r="J22" s="470">
        <f t="shared" si="8"/>
        <v>1.5357420632114604E-2</v>
      </c>
      <c r="K22" s="417"/>
      <c r="L22" s="401">
        <f t="shared" ref="L22:N29" si="9">+$F22*H22</f>
        <v>0</v>
      </c>
      <c r="M22" s="401">
        <f t="shared" si="9"/>
        <v>0</v>
      </c>
      <c r="N22" s="401">
        <f>+$F22*J22</f>
        <v>1.1625567418510756</v>
      </c>
      <c r="O22" s="399" t="s">
        <v>447</v>
      </c>
      <c r="P22" s="401" t="s">
        <v>480</v>
      </c>
      <c r="R22" s="418" t="s">
        <v>529</v>
      </c>
      <c r="S22" s="418" t="s">
        <v>427</v>
      </c>
      <c r="T22" s="418" t="s">
        <v>428</v>
      </c>
      <c r="U22" s="418" t="s">
        <v>347</v>
      </c>
      <c r="V22" s="418" t="str">
        <f>+S22&amp;" % Rec."</f>
        <v>Low % Rec.</v>
      </c>
      <c r="W22" s="418" t="str">
        <f>+T22&amp;" % Rec."</f>
        <v>Med % Rec.</v>
      </c>
      <c r="X22" s="418" t="str">
        <f>+U22&amp;" % Rec."</f>
        <v>High % Rec.</v>
      </c>
    </row>
    <row r="23" spans="3:27" ht="15" customHeight="1" x14ac:dyDescent="0.2">
      <c r="C23" s="384" t="s">
        <v>509</v>
      </c>
      <c r="D23" s="384" t="s">
        <v>466</v>
      </c>
      <c r="E23" s="417"/>
      <c r="F23" s="410">
        <f>BS!I30</f>
        <v>373.8</v>
      </c>
      <c r="H23" s="470">
        <f>V36</f>
        <v>0</v>
      </c>
      <c r="I23" s="470">
        <f t="shared" ref="I23:J23" si="10">W36</f>
        <v>0</v>
      </c>
      <c r="J23" s="470">
        <f t="shared" si="10"/>
        <v>1.5357420632114604E-2</v>
      </c>
      <c r="K23" s="417"/>
      <c r="L23" s="401">
        <f t="shared" si="9"/>
        <v>0</v>
      </c>
      <c r="M23" s="401">
        <f t="shared" si="9"/>
        <v>0</v>
      </c>
      <c r="N23" s="401">
        <f t="shared" si="9"/>
        <v>5.7406038322844388</v>
      </c>
      <c r="O23" s="399" t="s">
        <v>447</v>
      </c>
      <c r="P23" s="401" t="s">
        <v>510</v>
      </c>
      <c r="R23" s="419" t="s">
        <v>525</v>
      </c>
      <c r="S23" s="420">
        <f>+L19</f>
        <v>1166.376</v>
      </c>
      <c r="T23" s="420">
        <f>+M19</f>
        <v>1849.0080000000003</v>
      </c>
      <c r="U23" s="420">
        <f>+N19</f>
        <v>2518.62</v>
      </c>
      <c r="V23" s="320"/>
      <c r="W23" s="320"/>
      <c r="X23" s="320"/>
    </row>
    <row r="24" spans="3:27" ht="15" customHeight="1" x14ac:dyDescent="0.2">
      <c r="C24" s="384" t="s">
        <v>467</v>
      </c>
      <c r="D24" s="390" t="s">
        <v>54</v>
      </c>
      <c r="E24" s="417"/>
      <c r="F24" s="410">
        <f>BS!I32</f>
        <v>589.4</v>
      </c>
      <c r="H24" s="470">
        <f>V24</f>
        <v>0.54222304867277193</v>
      </c>
      <c r="I24" s="470">
        <f t="shared" ref="I24:J24" si="11">W24</f>
        <v>0.85956394402863645</v>
      </c>
      <c r="J24" s="470">
        <f t="shared" si="11"/>
        <v>1</v>
      </c>
      <c r="K24" s="417"/>
      <c r="L24" s="401">
        <f t="shared" si="9"/>
        <v>319.58626488773177</v>
      </c>
      <c r="M24" s="401">
        <f t="shared" si="9"/>
        <v>506.62698861047829</v>
      </c>
      <c r="N24" s="401">
        <f t="shared" si="9"/>
        <v>589.4</v>
      </c>
      <c r="O24" s="399" t="s">
        <v>447</v>
      </c>
      <c r="P24" s="401" t="s">
        <v>481</v>
      </c>
      <c r="R24" s="400" t="str">
        <f>+"Less: Distribution to "&amp;R7</f>
        <v xml:space="preserve">Less: Distribution to Curr. Port. of LT Debt </v>
      </c>
      <c r="S24" s="411">
        <f>-$S$7</f>
        <v>-589.4</v>
      </c>
      <c r="T24" s="411">
        <f>-$S$7</f>
        <v>-589.4</v>
      </c>
      <c r="U24" s="411">
        <f>-$S$7</f>
        <v>-589.4</v>
      </c>
      <c r="V24" s="216">
        <f>IF(SUM(ABS(S24),ABS(S26),ABS(S28))&gt;S23,S23/SUM(ABS(S24),ABS(S26),ABS(S28)),100%)</f>
        <v>0.54222304867277193</v>
      </c>
      <c r="W24" s="216">
        <f>IF(SUM(ABS(T24),ABS(T26),ABS(T28))&gt;T23,T23/SUM(ABS(T24),ABS(T26),ABS(T28)),100%)</f>
        <v>0.85956394402863645</v>
      </c>
      <c r="X24" s="216">
        <f>IF(SUM(ABS(U24),ABS(U26),ABS(U28))&gt;U23,U23/SUM(ABS(U24),ABS(U26),ABS(U28)),100%)</f>
        <v>1</v>
      </c>
      <c r="Y24" s="146"/>
      <c r="Z24" s="146"/>
      <c r="AA24" s="146"/>
    </row>
    <row r="25" spans="3:27" ht="15" customHeight="1" x14ac:dyDescent="0.2">
      <c r="C25" s="384" t="s">
        <v>468</v>
      </c>
      <c r="D25" s="390" t="s">
        <v>56</v>
      </c>
      <c r="E25" s="417"/>
      <c r="F25" s="410">
        <f>BS!I34</f>
        <v>175.3</v>
      </c>
      <c r="H25" s="470">
        <f>V28</f>
        <v>0</v>
      </c>
      <c r="I25" s="470">
        <f t="shared" ref="I25:J25" si="12">W28</f>
        <v>0</v>
      </c>
      <c r="J25" s="470">
        <f t="shared" si="12"/>
        <v>1</v>
      </c>
      <c r="K25" s="406"/>
      <c r="L25" s="401">
        <f t="shared" si="9"/>
        <v>0</v>
      </c>
      <c r="M25" s="401">
        <f t="shared" si="9"/>
        <v>0</v>
      </c>
      <c r="N25" s="401">
        <f>+$F25*J25</f>
        <v>175.3</v>
      </c>
      <c r="O25" s="399" t="s">
        <v>447</v>
      </c>
      <c r="P25" s="401" t="s">
        <v>482</v>
      </c>
      <c r="R25" s="421" t="s">
        <v>525</v>
      </c>
      <c r="S25" s="422">
        <f>+IF(ABS(S24)&gt;S23,0,IF(S23+S24&gt;0,S23+S24,S24-S23))</f>
        <v>576.976</v>
      </c>
      <c r="T25" s="422">
        <f>+IF(ABS(T24)&gt;T23,0,IF(T23+T24&gt;0,T23+T24,T24-T23))</f>
        <v>1259.6080000000002</v>
      </c>
      <c r="U25" s="422">
        <f>+IF(ABS(U24)&gt;U23,0,IF(U23+U24&gt;0,U23+U24,U24-U23))</f>
        <v>1929.2199999999998</v>
      </c>
      <c r="V25" s="321"/>
      <c r="W25" s="321"/>
      <c r="X25" s="321"/>
    </row>
    <row r="26" spans="3:27" ht="15" customHeight="1" x14ac:dyDescent="0.2">
      <c r="C26" s="384" t="s">
        <v>57</v>
      </c>
      <c r="D26" s="390" t="s">
        <v>469</v>
      </c>
      <c r="F26" s="403">
        <v>96.8</v>
      </c>
      <c r="H26" s="470">
        <f>V38</f>
        <v>0</v>
      </c>
      <c r="I26" s="470">
        <f t="shared" ref="I26:J26" si="13">W38</f>
        <v>0</v>
      </c>
      <c r="J26" s="470">
        <f t="shared" si="13"/>
        <v>1.5357420632114604E-2</v>
      </c>
      <c r="K26" s="406"/>
      <c r="L26" s="401">
        <f t="shared" si="9"/>
        <v>0</v>
      </c>
      <c r="M26" s="401">
        <f t="shared" si="9"/>
        <v>0</v>
      </c>
      <c r="N26" s="401">
        <f t="shared" si="9"/>
        <v>1.4865983171886936</v>
      </c>
      <c r="O26" s="399" t="s">
        <v>447</v>
      </c>
      <c r="P26" s="401" t="s">
        <v>483</v>
      </c>
      <c r="R26" s="400" t="str">
        <f>+"Less: Distribution to "&amp;R8</f>
        <v xml:space="preserve">Less: Distribution to Long-Term borrowings </v>
      </c>
      <c r="S26" s="411">
        <f>-S8</f>
        <v>-1386.4</v>
      </c>
      <c r="T26" s="411">
        <f>-$S$8</f>
        <v>-1386.4</v>
      </c>
      <c r="U26" s="411">
        <f>-$S$8</f>
        <v>-1386.4</v>
      </c>
      <c r="V26" s="146">
        <f>V24</f>
        <v>0.54222304867277193</v>
      </c>
      <c r="W26" s="146">
        <f t="shared" ref="W26:X26" si="14">W24</f>
        <v>0.85956394402863645</v>
      </c>
      <c r="X26" s="146">
        <f t="shared" si="14"/>
        <v>1</v>
      </c>
      <c r="Y26" s="146"/>
      <c r="Z26" s="146"/>
      <c r="AA26" s="146"/>
    </row>
    <row r="27" spans="3:27" ht="15" customHeight="1" x14ac:dyDescent="0.2">
      <c r="D27" s="390" t="s">
        <v>470</v>
      </c>
      <c r="F27" s="403">
        <v>38.299999999999997</v>
      </c>
      <c r="H27" s="470">
        <f>V40</f>
        <v>0</v>
      </c>
      <c r="I27" s="470">
        <f t="shared" ref="I27:J27" si="15">W40</f>
        <v>0</v>
      </c>
      <c r="J27" s="470">
        <f t="shared" si="15"/>
        <v>1.5357420632114604E-2</v>
      </c>
      <c r="K27" s="406"/>
      <c r="L27" s="401">
        <f t="shared" si="9"/>
        <v>0</v>
      </c>
      <c r="M27" s="401">
        <f t="shared" si="9"/>
        <v>0</v>
      </c>
      <c r="N27" s="401">
        <f t="shared" si="9"/>
        <v>0.58818921020998927</v>
      </c>
      <c r="O27" s="399" t="s">
        <v>447</v>
      </c>
      <c r="P27" s="401" t="s">
        <v>484</v>
      </c>
      <c r="R27" s="421" t="s">
        <v>526</v>
      </c>
      <c r="S27" s="422">
        <f>+IF(ABS(S26)&gt;S25,0,IF(S25+S26&gt;0,S25+S26,S26-S25))</f>
        <v>0</v>
      </c>
      <c r="T27" s="422">
        <f>+IF(ABS(T26)&gt;T25,0,IF(T25+T26&gt;0,T25+T26,T26-T25))</f>
        <v>0</v>
      </c>
      <c r="U27" s="422">
        <f>+IF(ABS(U26)&gt;U25,0,IF(U25+U26&gt;0,U25+U26,U26-U25))</f>
        <v>542.81999999999971</v>
      </c>
      <c r="V27" s="321" t="str">
        <f t="shared" ref="V27:V47" si="16">IF(S27=0,"",MIN(1,MAX(0,ABS(S26)/ABS(S27))))</f>
        <v/>
      </c>
      <c r="W27" s="321"/>
      <c r="X27" s="321"/>
    </row>
    <row r="28" spans="3:27" ht="15" customHeight="1" x14ac:dyDescent="0.2">
      <c r="D28" s="390" t="s">
        <v>507</v>
      </c>
      <c r="F28" s="403">
        <v>24.3</v>
      </c>
      <c r="H28" s="470">
        <f>V28</f>
        <v>0</v>
      </c>
      <c r="I28" s="470">
        <f t="shared" ref="I28:J28" si="17">W28</f>
        <v>0</v>
      </c>
      <c r="J28" s="470">
        <f t="shared" si="17"/>
        <v>1</v>
      </c>
      <c r="K28" s="406"/>
      <c r="L28" s="401">
        <f t="shared" si="9"/>
        <v>0</v>
      </c>
      <c r="M28" s="401">
        <f t="shared" si="9"/>
        <v>0</v>
      </c>
      <c r="N28" s="401">
        <f t="shared" si="9"/>
        <v>24.3</v>
      </c>
      <c r="O28" s="399" t="s">
        <v>447</v>
      </c>
      <c r="P28" s="401" t="s">
        <v>485</v>
      </c>
      <c r="R28" s="400" t="str">
        <f>+"Less: Distribution to "&amp;R9</f>
        <v xml:space="preserve">Less: Distribution to Current income taxes payable </v>
      </c>
      <c r="S28" s="411">
        <f>-$S$9</f>
        <v>-175.3</v>
      </c>
      <c r="T28" s="411">
        <f t="shared" ref="T28:U28" si="18">-$S$9</f>
        <v>-175.3</v>
      </c>
      <c r="U28" s="411">
        <f t="shared" si="18"/>
        <v>-175.3</v>
      </c>
      <c r="V28" s="216">
        <f>IF(INDEX($Y$5:$Z$7,2,2)&gt;S27,S27/INDEX($Y$5:$Z$7,2,2),100%)</f>
        <v>0</v>
      </c>
      <c r="W28" s="216">
        <f>IF(INDEX($Y$5:$Z$7,2,2)&gt;T27,T27/INDEX($Y$5:$Z$7,2,2),100%)</f>
        <v>0</v>
      </c>
      <c r="X28" s="216">
        <f>IF(INDEX($Y$5:$Z$7,2,2)&gt;U27,U27/INDEX($Y$5:$Z$7,2,2),100%)</f>
        <v>1</v>
      </c>
      <c r="Y28" s="146"/>
      <c r="Z28" s="146"/>
      <c r="AA28" s="146"/>
    </row>
    <row r="29" spans="3:27" ht="15" customHeight="1" x14ac:dyDescent="0.2">
      <c r="D29" s="390" t="s">
        <v>506</v>
      </c>
      <c r="F29" s="403">
        <v>11.9</v>
      </c>
      <c r="H29" s="470">
        <f>V42</f>
        <v>0</v>
      </c>
      <c r="I29" s="470">
        <f t="shared" ref="I29:J29" si="19">W42</f>
        <v>0</v>
      </c>
      <c r="J29" s="470">
        <f t="shared" si="19"/>
        <v>1.5357420632114604E-2</v>
      </c>
      <c r="K29" s="406"/>
      <c r="L29" s="401">
        <f t="shared" si="9"/>
        <v>0</v>
      </c>
      <c r="M29" s="401">
        <f t="shared" si="9"/>
        <v>0</v>
      </c>
      <c r="N29" s="401">
        <f t="shared" si="9"/>
        <v>0.18275330552216379</v>
      </c>
      <c r="O29" s="399" t="s">
        <v>447</v>
      </c>
      <c r="P29" s="401" t="s">
        <v>486</v>
      </c>
      <c r="R29" s="421" t="s">
        <v>526</v>
      </c>
      <c r="S29" s="422">
        <f>+IF(ABS(S28)&gt;S27,0,IF(S27+S28&gt;0,S27+S28,S28-S27))</f>
        <v>0</v>
      </c>
      <c r="T29" s="422">
        <f>+IF(ABS(T28)&gt;T27,0,IF(T27+T28&gt;0,T27+T28,T28-T27))</f>
        <v>0</v>
      </c>
      <c r="U29" s="422">
        <f>+IF(ABS(U28)&gt;U27,0,IF(U27+U28&gt;0,U27+U28,U28-U27))</f>
        <v>367.5199999999997</v>
      </c>
      <c r="V29" s="322" t="str">
        <f t="shared" si="16"/>
        <v/>
      </c>
      <c r="W29" s="321"/>
      <c r="X29" s="321"/>
    </row>
    <row r="30" spans="3:27" ht="15" customHeight="1" x14ac:dyDescent="0.2">
      <c r="C30" s="412"/>
      <c r="D30" s="391" t="s">
        <v>116</v>
      </c>
      <c r="E30" s="423"/>
      <c r="F30" s="424">
        <f>SUM(F22:F29)</f>
        <v>1385.5</v>
      </c>
      <c r="H30" s="425"/>
      <c r="I30" s="425"/>
      <c r="J30" s="425"/>
      <c r="K30" s="406"/>
      <c r="L30" s="424">
        <f t="shared" ref="L30:N30" si="20">SUM(L22:L29)</f>
        <v>319.58626488773177</v>
      </c>
      <c r="M30" s="424">
        <f t="shared" si="20"/>
        <v>506.62698861047829</v>
      </c>
      <c r="N30" s="424">
        <f t="shared" si="20"/>
        <v>798.16070140705631</v>
      </c>
      <c r="O30" s="399"/>
      <c r="P30" s="401"/>
      <c r="R30" s="400" t="str">
        <f>+"Less: Distribution to "&amp;R10</f>
        <v xml:space="preserve">Less: Distribution to Current provisions </v>
      </c>
      <c r="S30" s="411">
        <f>-$S$10</f>
        <v>-24.3</v>
      </c>
      <c r="T30" s="411">
        <f t="shared" ref="T30:U30" si="21">-$S$10</f>
        <v>-24.3</v>
      </c>
      <c r="U30" s="411">
        <f t="shared" si="21"/>
        <v>-24.3</v>
      </c>
      <c r="V30" s="146">
        <f>V28</f>
        <v>0</v>
      </c>
      <c r="W30" s="146">
        <f>W28</f>
        <v>0</v>
      </c>
      <c r="X30" s="146">
        <f>X28</f>
        <v>1</v>
      </c>
      <c r="Y30" s="146"/>
      <c r="Z30" s="146"/>
      <c r="AA30" s="146"/>
    </row>
    <row r="31" spans="3:27" ht="15" customHeight="1" x14ac:dyDescent="0.2">
      <c r="C31" s="384"/>
      <c r="D31" s="403"/>
      <c r="E31" s="417"/>
      <c r="F31" s="403"/>
      <c r="H31" s="425"/>
      <c r="I31" s="425"/>
      <c r="J31" s="425"/>
      <c r="K31" s="406"/>
      <c r="L31" s="401"/>
      <c r="M31" s="401"/>
      <c r="N31" s="401"/>
      <c r="O31" s="399"/>
      <c r="P31" s="401"/>
      <c r="R31" s="421" t="s">
        <v>526</v>
      </c>
      <c r="S31" s="422">
        <f>+IF(ABS(S30)&gt;S29,0,IF(S29+S30&gt;0,S29+S30,S30-S29))</f>
        <v>0</v>
      </c>
      <c r="T31" s="422">
        <f>+IF(ABS(T30)&gt;T29,0,IF(T29+T30&gt;0,T29+T30,T30-T29))</f>
        <v>0</v>
      </c>
      <c r="U31" s="422">
        <f>+IF(ABS(U30)&gt;U29,0,IF(U29+U30&gt;0,U29+U30,U30-U29))</f>
        <v>343.21999999999969</v>
      </c>
      <c r="V31" s="321" t="str">
        <f t="shared" si="16"/>
        <v/>
      </c>
      <c r="W31" s="321"/>
      <c r="X31" s="321"/>
    </row>
    <row r="32" spans="3:27" ht="15" customHeight="1" x14ac:dyDescent="0.2">
      <c r="C32" s="384" t="s">
        <v>58</v>
      </c>
      <c r="D32" s="390" t="s">
        <v>464</v>
      </c>
      <c r="F32" s="410">
        <f>BS!I38</f>
        <v>1386.4</v>
      </c>
      <c r="H32" s="470">
        <f>V26</f>
        <v>0.54222304867277193</v>
      </c>
      <c r="I32" s="470">
        <f t="shared" ref="I32:J32" si="22">W26</f>
        <v>0.85956394402863645</v>
      </c>
      <c r="J32" s="470">
        <f t="shared" si="22"/>
        <v>1</v>
      </c>
      <c r="K32" s="411"/>
      <c r="L32" s="401">
        <f t="shared" ref="L32:L34" si="23">+$F32*H32</f>
        <v>751.73803467993105</v>
      </c>
      <c r="M32" s="401">
        <f t="shared" ref="M32:M36" si="24">+$F32*I32</f>
        <v>1191.6994520013016</v>
      </c>
      <c r="N32" s="401">
        <f t="shared" ref="N32:N36" si="25">+$F32*J32</f>
        <v>1386.4</v>
      </c>
      <c r="R32" s="400" t="str">
        <f>+"Less: Distribution to "&amp;R11</f>
        <v xml:space="preserve">Less: Distribution to Non-current provisions (incl. decommissioning/ARO) </v>
      </c>
      <c r="S32" s="411">
        <f>-$S$11</f>
        <v>-321.5</v>
      </c>
      <c r="T32" s="411">
        <f t="shared" ref="T32:U32" si="26">-$S$11</f>
        <v>-321.5</v>
      </c>
      <c r="U32" s="411">
        <f t="shared" si="26"/>
        <v>-321.5</v>
      </c>
      <c r="V32" s="146">
        <f>V30</f>
        <v>0</v>
      </c>
      <c r="W32" s="146">
        <f>W30</f>
        <v>0</v>
      </c>
      <c r="X32" s="146">
        <f>X30</f>
        <v>1</v>
      </c>
      <c r="Y32" s="146"/>
      <c r="Z32" s="146"/>
      <c r="AA32" s="146"/>
    </row>
    <row r="33" spans="3:30" ht="15" customHeight="1" x14ac:dyDescent="0.2">
      <c r="C33" s="384"/>
      <c r="D33" s="6" t="s">
        <v>59</v>
      </c>
      <c r="F33" s="410">
        <f>BS!I39</f>
        <v>581</v>
      </c>
      <c r="H33" s="471">
        <f>V44</f>
        <v>0</v>
      </c>
      <c r="I33" s="471">
        <f t="shared" ref="I33:J33" si="27">W44</f>
        <v>0</v>
      </c>
      <c r="J33" s="471">
        <f t="shared" si="27"/>
        <v>1.5357420632114604E-2</v>
      </c>
      <c r="K33" s="417"/>
      <c r="L33" s="401">
        <f t="shared" si="23"/>
        <v>0</v>
      </c>
      <c r="M33" s="401">
        <f t="shared" si="24"/>
        <v>0</v>
      </c>
      <c r="N33" s="401">
        <f t="shared" si="25"/>
        <v>8.922661387258584</v>
      </c>
      <c r="O33" s="399" t="s">
        <v>447</v>
      </c>
      <c r="P33" s="411" t="s">
        <v>487</v>
      </c>
      <c r="R33" s="421" t="s">
        <v>601</v>
      </c>
      <c r="S33" s="422">
        <f>+IF(ABS(S32)&gt;S31,0,IF(S31+S32&gt;0,S31+S32,S32-S31))</f>
        <v>0</v>
      </c>
      <c r="T33" s="422">
        <f>+IF(ABS(T32)&gt;T31,0,IF(T31+T32&gt;0,T31+T32,T32-T31))</f>
        <v>0</v>
      </c>
      <c r="U33" s="422">
        <f>+IF(ABS(U32)&gt;U31,0,IF(U31+U32&gt;0,U31+U32,U32-U31))</f>
        <v>21.719999999999686</v>
      </c>
      <c r="V33" s="321" t="str">
        <f t="shared" si="16"/>
        <v/>
      </c>
      <c r="W33" s="321"/>
      <c r="X33" s="321"/>
    </row>
    <row r="34" spans="3:30" ht="15" customHeight="1" x14ac:dyDescent="0.2">
      <c r="C34" s="384"/>
      <c r="D34" s="384" t="s">
        <v>465</v>
      </c>
      <c r="F34" s="410">
        <f>BS!I33</f>
        <v>151.9</v>
      </c>
      <c r="H34" s="470">
        <f>V46</f>
        <v>0</v>
      </c>
      <c r="I34" s="470">
        <f t="shared" ref="I34:J34" si="28">W46</f>
        <v>0</v>
      </c>
      <c r="J34" s="470">
        <f t="shared" si="28"/>
        <v>1.5357420632114604E-2</v>
      </c>
      <c r="K34" s="417"/>
      <c r="L34" s="401">
        <f t="shared" si="23"/>
        <v>0</v>
      </c>
      <c r="M34" s="401">
        <f t="shared" si="24"/>
        <v>0</v>
      </c>
      <c r="N34" s="401">
        <f t="shared" si="25"/>
        <v>2.3327921940182086</v>
      </c>
      <c r="O34" s="399" t="s">
        <v>447</v>
      </c>
      <c r="P34" s="401" t="s">
        <v>488</v>
      </c>
      <c r="R34" s="400" t="str">
        <f>+"Less: Distribution to "&amp;R12</f>
        <v xml:space="preserve">Less: Distribution to Payable </v>
      </c>
      <c r="S34" s="411">
        <f>-$S$12</f>
        <v>-75.7</v>
      </c>
      <c r="T34" s="411">
        <f t="shared" ref="T34:U34" si="29">-$S$12</f>
        <v>-75.7</v>
      </c>
      <c r="U34" s="411">
        <f t="shared" si="29"/>
        <v>-75.7</v>
      </c>
      <c r="V34" s="146">
        <f>IF(INDEX($Y$5:$Z$7,3,2)&gt;S33,S33/INDEX($Y$5:$Z$7,3,2))</f>
        <v>0</v>
      </c>
      <c r="W34" s="146">
        <f t="shared" ref="W34:X34" si="30">IF(INDEX($Y$5:$Z$7,3,2)&gt;T33,T33/INDEX($Y$5:$Z$7,3,2))</f>
        <v>0</v>
      </c>
      <c r="X34" s="146">
        <f t="shared" si="30"/>
        <v>1.5357420632114604E-2</v>
      </c>
      <c r="Y34" s="146"/>
      <c r="Z34" s="146"/>
      <c r="AA34" s="146"/>
      <c r="AD34" s="500"/>
    </row>
    <row r="35" spans="3:30" ht="15" customHeight="1" x14ac:dyDescent="0.2">
      <c r="C35" s="384" t="s">
        <v>61</v>
      </c>
      <c r="D35" s="390" t="s">
        <v>443</v>
      </c>
      <c r="F35" s="403">
        <v>321.5</v>
      </c>
      <c r="H35" s="470">
        <f>V32</f>
        <v>0</v>
      </c>
      <c r="I35" s="470">
        <f t="shared" ref="I35:J35" si="31">W32</f>
        <v>0</v>
      </c>
      <c r="J35" s="470">
        <f t="shared" si="31"/>
        <v>1</v>
      </c>
      <c r="K35" s="417"/>
      <c r="L35" s="401">
        <f t="shared" ref="L35:L36" si="32">+$F35*H35</f>
        <v>0</v>
      </c>
      <c r="M35" s="401">
        <f t="shared" si="24"/>
        <v>0</v>
      </c>
      <c r="N35" s="401">
        <f t="shared" si="25"/>
        <v>321.5</v>
      </c>
      <c r="O35" s="399" t="s">
        <v>447</v>
      </c>
      <c r="P35" s="401" t="s">
        <v>489</v>
      </c>
      <c r="R35" s="421" t="s">
        <v>527</v>
      </c>
      <c r="S35" s="422">
        <f>+IF(ABS(S34)&gt;S33,0,IF(S33+S34&gt;0,S33+S34,S34-S33))</f>
        <v>0</v>
      </c>
      <c r="T35" s="422">
        <f>+IF(ABS(T34)&gt;T33,0,IF(T33+T34&gt;0,T33+T34,T34-T33))</f>
        <v>0</v>
      </c>
      <c r="U35" s="422">
        <f>+IF(ABS(U34)&gt;U33,0,IF(U33+U34&gt;0,U33+U34,U34-U33))</f>
        <v>0</v>
      </c>
      <c r="V35" s="321" t="str">
        <f t="shared" si="16"/>
        <v/>
      </c>
      <c r="W35" s="321"/>
      <c r="X35" s="321" t="str">
        <f t="shared" ref="X35:X47" si="33">IF(U35=0,"",MIN(1,MAX(0,ABS(U34)/ABS(U35))))</f>
        <v/>
      </c>
      <c r="AD35" s="500"/>
    </row>
    <row r="36" spans="3:30" ht="15" customHeight="1" x14ac:dyDescent="0.2">
      <c r="D36" s="390" t="s">
        <v>471</v>
      </c>
      <c r="F36" s="403">
        <v>84.9</v>
      </c>
      <c r="H36" s="470">
        <f>V48</f>
        <v>0</v>
      </c>
      <c r="I36" s="470">
        <f t="shared" ref="I36:J36" si="34">W48</f>
        <v>0</v>
      </c>
      <c r="J36" s="470">
        <f t="shared" si="34"/>
        <v>1.5357420632114604E-2</v>
      </c>
      <c r="K36" s="417"/>
      <c r="L36" s="401">
        <f t="shared" si="32"/>
        <v>0</v>
      </c>
      <c r="M36" s="401">
        <f t="shared" si="24"/>
        <v>0</v>
      </c>
      <c r="N36" s="401">
        <f t="shared" si="25"/>
        <v>1.3038450116665299</v>
      </c>
      <c r="O36" s="399" t="s">
        <v>447</v>
      </c>
      <c r="P36" s="401" t="s">
        <v>490</v>
      </c>
      <c r="R36" s="400" t="str">
        <f>+"Less: Distribution to "&amp;R13</f>
        <v xml:space="preserve">Less: Distribution to Accrued expenses </v>
      </c>
      <c r="S36" s="411">
        <f>-$S$13</f>
        <v>-373.8</v>
      </c>
      <c r="T36" s="411">
        <f t="shared" ref="T36:U36" si="35">-$S$13</f>
        <v>-373.8</v>
      </c>
      <c r="U36" s="411">
        <f t="shared" si="35"/>
        <v>-373.8</v>
      </c>
      <c r="V36" s="146">
        <f t="shared" ref="V36:W36" si="36">V34</f>
        <v>0</v>
      </c>
      <c r="W36" s="146">
        <f t="shared" si="36"/>
        <v>0</v>
      </c>
      <c r="X36" s="146">
        <f>X34</f>
        <v>1.5357420632114604E-2</v>
      </c>
      <c r="Y36" s="146"/>
      <c r="Z36" s="146"/>
      <c r="AA36" s="146"/>
      <c r="AD36" s="500"/>
    </row>
    <row r="37" spans="3:30" ht="15" customHeight="1" thickBot="1" x14ac:dyDescent="0.25">
      <c r="D37" s="391" t="s">
        <v>62</v>
      </c>
      <c r="E37" s="423"/>
      <c r="F37" s="426">
        <f>SUM(F30:F36)</f>
        <v>3911.2000000000003</v>
      </c>
      <c r="H37" s="425"/>
      <c r="I37" s="425"/>
      <c r="J37" s="425"/>
      <c r="K37" s="417"/>
      <c r="L37" s="427">
        <f>SUM(L32:L36)+L30</f>
        <v>1071.3242995676628</v>
      </c>
      <c r="M37" s="427">
        <f>SUM(M32:M36)+M30</f>
        <v>1698.3264406117798</v>
      </c>
      <c r="N37" s="427">
        <f>SUM(N32:N36)+N30</f>
        <v>2518.6199999999994</v>
      </c>
      <c r="O37" s="399"/>
      <c r="P37" s="401"/>
      <c r="R37" s="421" t="s">
        <v>527</v>
      </c>
      <c r="S37" s="422">
        <f>+IF(ABS(S36)&gt;S35,0,IF(S35+S36&gt;0,S35+S36,S36-S35))</f>
        <v>0</v>
      </c>
      <c r="T37" s="422">
        <f>+IF(ABS(T36)&gt;T35,0,IF(T35+T36&gt;0,T35+T36,T36-T35))</f>
        <v>0</v>
      </c>
      <c r="U37" s="422">
        <f>+IF(ABS(U36)&gt;U35,0,IF(U35+U36&gt;0,U35+U36,U36-U35))</f>
        <v>0</v>
      </c>
      <c r="V37" s="321" t="str">
        <f t="shared" si="16"/>
        <v/>
      </c>
      <c r="W37" s="321"/>
      <c r="X37" s="321" t="str">
        <f t="shared" si="33"/>
        <v/>
      </c>
      <c r="AD37" s="500"/>
    </row>
    <row r="38" spans="3:30" ht="15" customHeight="1" thickTop="1" x14ac:dyDescent="0.2">
      <c r="D38" s="384"/>
      <c r="F38" s="403"/>
      <c r="H38" s="428"/>
      <c r="I38" s="428"/>
      <c r="J38" s="428"/>
      <c r="K38" s="417"/>
      <c r="L38" s="401"/>
      <c r="M38" s="401"/>
      <c r="N38" s="401"/>
      <c r="O38" s="399"/>
      <c r="P38" s="401"/>
      <c r="R38" s="400" t="str">
        <f>+"Less: Distribution to "&amp;R14</f>
        <v xml:space="preserve">Less: Distribution to Current trade &amp; other payables – Other payables </v>
      </c>
      <c r="S38" s="411">
        <f>-$S$14</f>
        <v>-96.8</v>
      </c>
      <c r="T38" s="411">
        <f t="shared" ref="T38:U38" si="37">-$S$14</f>
        <v>-96.8</v>
      </c>
      <c r="U38" s="411">
        <f t="shared" si="37"/>
        <v>-96.8</v>
      </c>
      <c r="V38" s="146">
        <f t="shared" ref="V38:W38" si="38">V36</f>
        <v>0</v>
      </c>
      <c r="W38" s="146">
        <f t="shared" si="38"/>
        <v>0</v>
      </c>
      <c r="X38" s="146">
        <f>X36</f>
        <v>1.5357420632114604E-2</v>
      </c>
      <c r="Y38" s="146"/>
      <c r="Z38" s="146"/>
      <c r="AA38" s="146"/>
      <c r="AD38" s="500"/>
    </row>
    <row r="39" spans="3:30" ht="15" customHeight="1" x14ac:dyDescent="0.2">
      <c r="D39" s="429" t="s">
        <v>513</v>
      </c>
      <c r="H39" s="428"/>
      <c r="I39" s="428"/>
      <c r="J39" s="428"/>
      <c r="K39" s="417"/>
      <c r="O39" s="399"/>
      <c r="P39" s="401"/>
      <c r="R39" s="421" t="s">
        <v>527</v>
      </c>
      <c r="S39" s="422">
        <f>+IF(ABS(S38)&gt;S37,0,IF(S37+S38&gt;0,S37+S38,S38-S37))</f>
        <v>0</v>
      </c>
      <c r="T39" s="422">
        <f>+IF(ABS(T38)&gt;T37,0,IF(T37+T38&gt;0,T37+T38,T38-T37))</f>
        <v>0</v>
      </c>
      <c r="U39" s="422">
        <f>+IF(ABS(U38)&gt;U37,0,IF(U37+U38&gt;0,U37+U38,U38-U37))</f>
        <v>0</v>
      </c>
      <c r="V39" s="321" t="str">
        <f t="shared" si="16"/>
        <v/>
      </c>
      <c r="W39" s="321"/>
      <c r="X39" s="321" t="str">
        <f t="shared" si="33"/>
        <v/>
      </c>
      <c r="AD39" s="500"/>
    </row>
    <row r="40" spans="3:30" ht="15" customHeight="1" x14ac:dyDescent="0.2">
      <c r="D40" s="390" t="s">
        <v>431</v>
      </c>
      <c r="F40" s="410"/>
      <c r="H40" s="428"/>
      <c r="I40" s="428"/>
      <c r="J40" s="428"/>
      <c r="K40" s="417"/>
      <c r="L40" s="411">
        <f>L19</f>
        <v>1166.376</v>
      </c>
      <c r="M40" s="411">
        <f>M19</f>
        <v>1849.0080000000003</v>
      </c>
      <c r="N40" s="411">
        <f>N19</f>
        <v>2518.62</v>
      </c>
      <c r="O40" s="399"/>
      <c r="P40" s="401"/>
      <c r="R40" s="400" t="str">
        <f>+"Less: Distribution to "&amp;R15</f>
        <v xml:space="preserve">Less: Distribution to Current trade &amp; other payables – Overlifts </v>
      </c>
      <c r="S40" s="411">
        <f>-$S$15</f>
        <v>-38.299999999999997</v>
      </c>
      <c r="T40" s="411">
        <f t="shared" ref="T40:U40" si="39">-$S$15</f>
        <v>-38.299999999999997</v>
      </c>
      <c r="U40" s="411">
        <f t="shared" si="39"/>
        <v>-38.299999999999997</v>
      </c>
      <c r="V40" s="146">
        <f t="shared" ref="V40:W40" si="40">V38</f>
        <v>0</v>
      </c>
      <c r="W40" s="146">
        <f t="shared" si="40"/>
        <v>0</v>
      </c>
      <c r="X40" s="146">
        <f>X38</f>
        <v>1.5357420632114604E-2</v>
      </c>
      <c r="Y40" s="146"/>
      <c r="Z40" s="146"/>
      <c r="AA40" s="146"/>
      <c r="AD40" s="500"/>
    </row>
    <row r="41" spans="3:30" ht="15" customHeight="1" x14ac:dyDescent="0.2">
      <c r="D41" s="390" t="s">
        <v>432</v>
      </c>
      <c r="H41" s="428"/>
      <c r="I41" s="428"/>
      <c r="J41" s="428"/>
      <c r="K41" s="417"/>
      <c r="L41" s="411">
        <f>L37</f>
        <v>1071.3242995676628</v>
      </c>
      <c r="M41" s="411">
        <f>M37</f>
        <v>1698.3264406117798</v>
      </c>
      <c r="N41" s="411">
        <f>N37</f>
        <v>2518.6199999999994</v>
      </c>
      <c r="O41" s="399"/>
      <c r="P41" s="401"/>
      <c r="R41" s="421" t="s">
        <v>527</v>
      </c>
      <c r="S41" s="422">
        <f>+IF(ABS(S40)&gt;S39,0,IF(S39+S40&gt;0,S39+S40,S40-S39))</f>
        <v>0</v>
      </c>
      <c r="T41" s="422">
        <f>+IF(ABS(T40)&gt;T39,0,IF(T39+T40&gt;0,T39+T40,T40-T39))</f>
        <v>0</v>
      </c>
      <c r="U41" s="422">
        <f>+IF(ABS(U40)&gt;U39,0,IF(U39+U40&gt;0,U39+U40,U40-U39))</f>
        <v>0</v>
      </c>
      <c r="V41" s="321" t="str">
        <f t="shared" si="16"/>
        <v/>
      </c>
      <c r="W41" s="321"/>
      <c r="X41" s="321" t="str">
        <f t="shared" si="33"/>
        <v/>
      </c>
      <c r="AD41" s="500"/>
    </row>
    <row r="42" spans="3:30" ht="15" customHeight="1" thickBot="1" x14ac:dyDescent="0.25">
      <c r="D42" s="423" t="s">
        <v>513</v>
      </c>
      <c r="H42" s="411"/>
      <c r="I42" s="411"/>
      <c r="J42" s="411"/>
      <c r="K42" s="411"/>
      <c r="L42" s="426">
        <f>+L40-L41</f>
        <v>95.051700432337157</v>
      </c>
      <c r="M42" s="426">
        <f>+M40-M41</f>
        <v>150.68155938822042</v>
      </c>
      <c r="N42" s="426">
        <f>+N40-N41</f>
        <v>0</v>
      </c>
      <c r="O42" s="399"/>
      <c r="P42" s="420"/>
      <c r="R42" s="400" t="str">
        <f>+"Less: Distribution to "&amp;R16</f>
        <v xml:space="preserve">Less: Distribution to Current derivative liabilities </v>
      </c>
      <c r="S42" s="411">
        <f>-$S$16</f>
        <v>-11.9</v>
      </c>
      <c r="T42" s="411">
        <f>-$S$16</f>
        <v>-11.9</v>
      </c>
      <c r="U42" s="411">
        <f>-$S$16</f>
        <v>-11.9</v>
      </c>
      <c r="V42" s="146">
        <f t="shared" ref="V42:W42" si="41">V40</f>
        <v>0</v>
      </c>
      <c r="W42" s="146">
        <f t="shared" si="41"/>
        <v>0</v>
      </c>
      <c r="X42" s="146">
        <f>X40</f>
        <v>1.5357420632114604E-2</v>
      </c>
      <c r="Y42" s="146"/>
      <c r="Z42" s="146"/>
      <c r="AA42" s="146"/>
    </row>
    <row r="43" spans="3:30" ht="15" customHeight="1" thickTop="1" x14ac:dyDescent="0.2">
      <c r="F43" s="417"/>
      <c r="H43" s="417"/>
      <c r="I43" s="417"/>
      <c r="J43" s="417"/>
      <c r="K43" s="417"/>
      <c r="R43" s="421" t="s">
        <v>527</v>
      </c>
      <c r="S43" s="422">
        <f>+IF(ABS(S42)&gt;S41,0,IF(S41+S42&gt;0,S41+S42,S42-S41))</f>
        <v>0</v>
      </c>
      <c r="T43" s="422">
        <f>+IF(ABS(T42)&gt;T41,0,IF(T41+T42&gt;0,T41+T42,T42-T41))</f>
        <v>0</v>
      </c>
      <c r="U43" s="422">
        <f>+IF(ABS(U42)&gt;U41,0,IF(U41+U42&gt;0,U41+U42,U42-U41))</f>
        <v>0</v>
      </c>
      <c r="V43" s="321" t="str">
        <f t="shared" si="16"/>
        <v/>
      </c>
      <c r="W43" s="321"/>
      <c r="X43" s="321" t="str">
        <f t="shared" si="33"/>
        <v/>
      </c>
    </row>
    <row r="44" spans="3:30" ht="15" customHeight="1" x14ac:dyDescent="0.2">
      <c r="D44" s="429" t="s">
        <v>433</v>
      </c>
      <c r="O44" s="393"/>
      <c r="P44" s="393"/>
      <c r="R44" s="400" t="str">
        <f>+"Less: Distribution to "&amp;R17</f>
        <v xml:space="preserve">Less: Distribution to Long-Term Leases </v>
      </c>
      <c r="S44" s="411">
        <f>-$S$17</f>
        <v>-581</v>
      </c>
      <c r="T44" s="411">
        <f>-$S$17</f>
        <v>-581</v>
      </c>
      <c r="U44" s="411">
        <f>-$S$17</f>
        <v>-581</v>
      </c>
      <c r="V44" s="146">
        <f t="shared" ref="V44:W44" si="42">V42</f>
        <v>0</v>
      </c>
      <c r="W44" s="146">
        <f t="shared" si="42"/>
        <v>0</v>
      </c>
      <c r="X44" s="146">
        <f>X42</f>
        <v>1.5357420632114604E-2</v>
      </c>
      <c r="Y44" s="146"/>
      <c r="Z44" s="146"/>
      <c r="AA44" s="146"/>
    </row>
    <row r="45" spans="3:30" ht="15" customHeight="1" x14ac:dyDescent="0.2">
      <c r="D45" s="390" t="str">
        <f>+D42</f>
        <v>Equity Value</v>
      </c>
      <c r="L45" s="411">
        <f>+L42</f>
        <v>95.051700432337157</v>
      </c>
      <c r="M45" s="411">
        <f>+M42</f>
        <v>150.68155938822042</v>
      </c>
      <c r="N45" s="411">
        <f>+N42</f>
        <v>0</v>
      </c>
      <c r="O45" s="411"/>
      <c r="P45" s="411"/>
      <c r="R45" s="421" t="s">
        <v>527</v>
      </c>
      <c r="S45" s="422">
        <f>+IF(ABS(S44)&gt;S43,0,IF(S43+S44&gt;0,S43+S44,S44-S43))</f>
        <v>0</v>
      </c>
      <c r="T45" s="422">
        <f>+IF(ABS(T44)&gt;T43,0,IF(T43+T44&gt;0,T43+T44,T44-T43))</f>
        <v>0</v>
      </c>
      <c r="U45" s="422">
        <f>+IF(ABS(U44)&gt;U43,0,IF(U43+U44&gt;0,U43+U44,U44-U43))</f>
        <v>0</v>
      </c>
      <c r="V45" s="321" t="str">
        <f t="shared" si="16"/>
        <v/>
      </c>
      <c r="W45" s="321"/>
      <c r="X45" s="321" t="str">
        <f t="shared" si="33"/>
        <v/>
      </c>
    </row>
    <row r="46" spans="3:30" ht="15" customHeight="1" x14ac:dyDescent="0.2">
      <c r="D46" s="390" t="s">
        <v>434</v>
      </c>
      <c r="L46" s="411">
        <f>(L32+L24+L33+L34)-L9</f>
        <v>538.42829956766286</v>
      </c>
      <c r="M46" s="411">
        <f>(M32+M24+M33+M34)-M9</f>
        <v>1154.3284406117798</v>
      </c>
      <c r="N46" s="411">
        <f>(N32+N24+N33+N34)-N9</f>
        <v>1431.9554535812767</v>
      </c>
      <c r="O46" s="411"/>
      <c r="P46" s="411"/>
      <c r="R46" s="400" t="str">
        <f>+"Less: Distribution to "&amp;R18</f>
        <v xml:space="preserve">Less: Distribution to Short-Term Leases </v>
      </c>
      <c r="S46" s="411">
        <f>-$S$18</f>
        <v>-151.9</v>
      </c>
      <c r="T46" s="411">
        <f>-$S$18</f>
        <v>-151.9</v>
      </c>
      <c r="U46" s="411">
        <f>-$S$18</f>
        <v>-151.9</v>
      </c>
      <c r="V46" s="146">
        <f t="shared" ref="V46:W46" si="43">V44</f>
        <v>0</v>
      </c>
      <c r="W46" s="146">
        <f t="shared" si="43"/>
        <v>0</v>
      </c>
      <c r="X46" s="146">
        <f>X44</f>
        <v>1.5357420632114604E-2</v>
      </c>
      <c r="Y46" s="146"/>
      <c r="Z46" s="146"/>
      <c r="AA46" s="146"/>
    </row>
    <row r="47" spans="3:30" ht="15" customHeight="1" thickBot="1" x14ac:dyDescent="0.25">
      <c r="D47" s="423" t="s">
        <v>433</v>
      </c>
      <c r="L47" s="426">
        <f>SUM(L45:L46)</f>
        <v>633.48</v>
      </c>
      <c r="M47" s="426">
        <f>SUM(M45:M46)</f>
        <v>1305.0100000000002</v>
      </c>
      <c r="N47" s="426">
        <f>SUM(N45:N46)</f>
        <v>1431.9554535812767</v>
      </c>
      <c r="O47" s="384"/>
      <c r="P47" s="384"/>
      <c r="R47" s="421" t="s">
        <v>527</v>
      </c>
      <c r="S47" s="422">
        <f>+IF(ABS(S46)&gt;S45,0,IF(S45+S46&gt;0,S45+S46,S46-S45))</f>
        <v>0</v>
      </c>
      <c r="T47" s="422">
        <f>+IF(ABS(T46)&gt;T45,0,IF(T45+T46&gt;0,T45+T46,T46-T45))</f>
        <v>0</v>
      </c>
      <c r="U47" s="422">
        <f>+IF(ABS(U46)&gt;U45,0,IF(U45+U46&gt;0,U45+U46,U46-U45))</f>
        <v>0</v>
      </c>
      <c r="V47" s="321" t="str">
        <f t="shared" si="16"/>
        <v/>
      </c>
      <c r="W47" s="321"/>
      <c r="X47" s="321" t="str">
        <f t="shared" si="33"/>
        <v/>
      </c>
    </row>
    <row r="48" spans="3:30" ht="15" customHeight="1" thickTop="1" x14ac:dyDescent="0.2">
      <c r="R48" s="400" t="str">
        <f>+"Less: Distribution to "&amp;R19</f>
        <v>Less: Distribution to Other non-current payables</v>
      </c>
      <c r="S48" s="411">
        <f>-$S$19</f>
        <v>-84.9</v>
      </c>
      <c r="T48" s="411">
        <f>-$S$19</f>
        <v>-84.9</v>
      </c>
      <c r="U48" s="411">
        <f>-$S$19</f>
        <v>-84.9</v>
      </c>
      <c r="V48" s="146">
        <f t="shared" ref="V48:W48" si="44">V46</f>
        <v>0</v>
      </c>
      <c r="W48" s="146">
        <f t="shared" si="44"/>
        <v>0</v>
      </c>
      <c r="X48" s="146">
        <f>X46</f>
        <v>1.5357420632114604E-2</v>
      </c>
      <c r="Y48" s="146"/>
      <c r="Z48" s="146"/>
      <c r="AA48" s="146"/>
    </row>
    <row r="49" spans="10:25" ht="15" customHeight="1" thickBot="1" x14ac:dyDescent="0.25">
      <c r="R49" s="430" t="s">
        <v>528</v>
      </c>
      <c r="S49" s="426">
        <f>+IF(ABS(S48)&gt;S47,0,IF(S47+S48&gt;0,S47+S48,S48-S47))</f>
        <v>0</v>
      </c>
      <c r="T49" s="426">
        <f>+IF(ABS(T48)&gt;T47,0,IF(T47+T48&gt;0,T47+T48,T48-T47))</f>
        <v>0</v>
      </c>
      <c r="U49" s="426">
        <f>+IF(ABS(U48)&gt;U47,0,IF(U47+U48&gt;0,U47+U48,U48-U47))</f>
        <v>0</v>
      </c>
      <c r="V49" s="431"/>
      <c r="W49" s="431"/>
      <c r="X49" s="431"/>
    </row>
    <row r="50" spans="10:25" ht="15" customHeight="1" thickTop="1" x14ac:dyDescent="0.2">
      <c r="O50" s="411"/>
      <c r="P50" s="411"/>
      <c r="S50" s="411"/>
      <c r="T50" s="411"/>
      <c r="U50" s="411"/>
      <c r="V50" s="411"/>
      <c r="Y50" s="411"/>
    </row>
    <row r="51" spans="10:25" ht="15" customHeight="1" x14ac:dyDescent="0.2">
      <c r="O51" s="411"/>
      <c r="P51" s="411"/>
      <c r="S51" s="411"/>
      <c r="T51" s="411"/>
      <c r="U51" s="411"/>
      <c r="V51" s="411"/>
      <c r="Y51" s="411"/>
    </row>
    <row r="52" spans="10:25" ht="15" customHeight="1" x14ac:dyDescent="0.2">
      <c r="O52" s="411"/>
      <c r="P52" s="411"/>
    </row>
    <row r="54" spans="10:25" ht="15" customHeight="1" x14ac:dyDescent="0.2">
      <c r="J54" s="412"/>
      <c r="K54" s="412"/>
    </row>
    <row r="55" spans="10:25" ht="15" customHeight="1" x14ac:dyDescent="0.2">
      <c r="J55" s="412"/>
      <c r="K55" s="412"/>
    </row>
    <row r="56" spans="10:25" ht="15" customHeight="1" x14ac:dyDescent="0.2">
      <c r="J56" s="412"/>
      <c r="K56" s="412"/>
    </row>
    <row r="75" spans="14:15" ht="15" customHeight="1" x14ac:dyDescent="0.2">
      <c r="O75" s="390" t="s">
        <v>445</v>
      </c>
    </row>
    <row r="76" spans="14:15" ht="15" customHeight="1" x14ac:dyDescent="0.2">
      <c r="N76" s="403"/>
      <c r="O76" s="390" t="s">
        <v>446</v>
      </c>
    </row>
    <row r="77" spans="14:15" ht="15" customHeight="1" x14ac:dyDescent="0.2">
      <c r="N77" s="403"/>
      <c r="O77" s="390" t="s">
        <v>448</v>
      </c>
    </row>
    <row r="78" spans="14:15" ht="15" customHeight="1" x14ac:dyDescent="0.2">
      <c r="N78" s="403"/>
      <c r="O78" s="390" t="s">
        <v>449</v>
      </c>
    </row>
    <row r="79" spans="14:15" ht="15" customHeight="1" x14ac:dyDescent="0.2">
      <c r="N79" s="403"/>
      <c r="O79" s="390" t="s">
        <v>556</v>
      </c>
    </row>
    <row r="80" spans="14:15" ht="15" customHeight="1" x14ac:dyDescent="0.2">
      <c r="N80" s="403"/>
      <c r="O80" s="390" t="s">
        <v>450</v>
      </c>
    </row>
    <row r="81" spans="14:15" ht="15" customHeight="1" x14ac:dyDescent="0.2">
      <c r="N81" s="403"/>
      <c r="O81" s="390" t="s">
        <v>451</v>
      </c>
    </row>
    <row r="82" spans="14:15" ht="15" customHeight="1" x14ac:dyDescent="0.2">
      <c r="N82" s="403"/>
      <c r="O82" s="390" t="s">
        <v>452</v>
      </c>
    </row>
    <row r="83" spans="14:15" ht="15" customHeight="1" x14ac:dyDescent="0.2">
      <c r="N83" s="403"/>
      <c r="O83" s="390" t="s">
        <v>453</v>
      </c>
    </row>
    <row r="84" spans="14:15" ht="15" customHeight="1" x14ac:dyDescent="0.2">
      <c r="N84" s="403"/>
      <c r="O84" s="390" t="s">
        <v>454</v>
      </c>
    </row>
    <row r="85" spans="14:15" ht="15" customHeight="1" x14ac:dyDescent="0.2">
      <c r="N85" s="403"/>
      <c r="O85" s="390" t="s">
        <v>455</v>
      </c>
    </row>
  </sheetData>
  <mergeCells count="2">
    <mergeCell ref="H6:J6"/>
    <mergeCell ref="L6:N6"/>
  </mergeCells>
  <printOptions horizontalCentered="1"/>
  <pageMargins left="0.118110236220472" right="0.118110236220472" top="0.118110236220472" bottom="0.118110236220472" header="0.118110236220472" footer="0.118110236220472"/>
  <pageSetup scale="85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115FC-6EED-4C34-8CEB-51176262CC84}">
  <sheetPr>
    <tabColor theme="4" tint="-0.249977111117893"/>
  </sheetPr>
  <dimension ref="C2:R22"/>
  <sheetViews>
    <sheetView showGridLines="0" workbookViewId="0"/>
  </sheetViews>
  <sheetFormatPr defaultColWidth="9.140625" defaultRowHeight="12.75" customHeight="1" x14ac:dyDescent="0.2"/>
  <cols>
    <col min="1" max="2" width="1.7109375" style="2" customWidth="1"/>
    <col min="3" max="3" width="39.42578125" style="2" bestFit="1" customWidth="1"/>
    <col min="4" max="4" width="10.5703125" style="2" customWidth="1"/>
    <col min="5" max="8" width="10.7109375" style="2" customWidth="1"/>
    <col min="9" max="9" width="8.7109375" style="2" customWidth="1"/>
    <col min="10" max="12" width="10.7109375" style="2" customWidth="1"/>
    <col min="13" max="15" width="9.140625" style="2"/>
    <col min="16" max="18" width="10.85546875" style="2" bestFit="1" customWidth="1"/>
    <col min="19" max="16384" width="9.140625" style="2"/>
  </cols>
  <sheetData>
    <row r="2" spans="3:18" ht="12.75" customHeight="1" x14ac:dyDescent="0.2">
      <c r="C2" s="383" t="s">
        <v>435</v>
      </c>
      <c r="D2" s="383"/>
      <c r="E2" s="383"/>
      <c r="F2" s="383"/>
      <c r="G2" s="383"/>
      <c r="H2" s="383"/>
      <c r="I2" s="383"/>
      <c r="J2" s="383"/>
      <c r="K2" s="383"/>
      <c r="L2" s="383"/>
      <c r="M2" s="382"/>
    </row>
    <row r="3" spans="3:18" ht="5.0999999999999996" customHeight="1" x14ac:dyDescent="0.2"/>
    <row r="4" spans="3:18" ht="12.75" customHeight="1" x14ac:dyDescent="0.2">
      <c r="C4" s="64" t="s">
        <v>160</v>
      </c>
      <c r="D4" s="65"/>
      <c r="E4" s="65"/>
      <c r="F4" s="65"/>
      <c r="G4" s="65"/>
      <c r="H4" s="65"/>
      <c r="I4" s="65"/>
      <c r="J4" s="65"/>
      <c r="K4" s="65"/>
      <c r="L4" s="66"/>
      <c r="M4" s="67"/>
      <c r="N4" s="64" t="s">
        <v>159</v>
      </c>
      <c r="O4" s="65"/>
      <c r="P4" s="65"/>
      <c r="Q4" s="65"/>
      <c r="R4" s="66"/>
    </row>
    <row r="5" spans="3:18" ht="12.75" customHeight="1" x14ac:dyDescent="0.2"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 t="s">
        <v>139</v>
      </c>
      <c r="O5" s="67"/>
      <c r="P5" s="67"/>
      <c r="Q5" s="67"/>
      <c r="R5" s="131">
        <v>1280</v>
      </c>
    </row>
    <row r="6" spans="3:18" ht="12.75" customHeight="1" x14ac:dyDescent="0.2">
      <c r="C6" s="80"/>
      <c r="D6" s="81"/>
      <c r="E6" s="81" t="s">
        <v>140</v>
      </c>
      <c r="F6" s="81"/>
      <c r="G6" s="81"/>
      <c r="H6" s="247"/>
      <c r="I6" s="249"/>
      <c r="J6" s="247"/>
      <c r="K6" s="247"/>
      <c r="L6" s="247"/>
      <c r="M6" s="67"/>
      <c r="N6" s="67" t="s">
        <v>141</v>
      </c>
      <c r="O6" s="67"/>
      <c r="P6" s="67"/>
      <c r="Q6" s="67"/>
      <c r="R6" s="131">
        <v>666.9</v>
      </c>
    </row>
    <row r="7" spans="3:18" ht="12.75" customHeight="1" x14ac:dyDescent="0.2">
      <c r="C7" s="82" t="s">
        <v>142</v>
      </c>
      <c r="D7" s="83" t="s">
        <v>170</v>
      </c>
      <c r="E7" s="83" t="s">
        <v>144</v>
      </c>
      <c r="F7" s="83" t="s">
        <v>145</v>
      </c>
      <c r="G7" s="83" t="s">
        <v>143</v>
      </c>
      <c r="H7" s="83" t="s">
        <v>163</v>
      </c>
      <c r="I7" s="83" t="s">
        <v>380</v>
      </c>
      <c r="J7" s="83" t="s">
        <v>164</v>
      </c>
      <c r="K7" s="83" t="s">
        <v>360</v>
      </c>
      <c r="L7" s="83" t="s">
        <v>171</v>
      </c>
      <c r="M7" s="67"/>
      <c r="N7" s="67" t="s">
        <v>146</v>
      </c>
      <c r="O7" s="67"/>
      <c r="P7" s="67"/>
      <c r="Q7" s="67"/>
      <c r="R7" s="131">
        <v>-153.69999999999999</v>
      </c>
    </row>
    <row r="8" spans="3:18" ht="12.75" customHeight="1" x14ac:dyDescent="0.2">
      <c r="C8" s="84" t="s">
        <v>168</v>
      </c>
      <c r="D8" s="86">
        <v>1.3718342379599999</v>
      </c>
      <c r="E8" s="85">
        <v>5.5426630000000001</v>
      </c>
      <c r="F8" s="85">
        <v>2.8188719999999998</v>
      </c>
      <c r="G8" s="85">
        <v>1.7058709999999999</v>
      </c>
      <c r="H8" s="86">
        <v>1.50531691055746</v>
      </c>
      <c r="I8" s="255">
        <f>+'Forecast Assumptions'!D46</f>
        <v>1.038</v>
      </c>
      <c r="J8" s="85">
        <v>116.49</v>
      </c>
      <c r="K8" s="451">
        <f>+IFERROR(H8/(1+(1-I8)*J8),"NM")</f>
        <v>-0.43930080095180046</v>
      </c>
      <c r="L8" s="85">
        <v>2.2149999999999999</v>
      </c>
      <c r="M8" s="67"/>
      <c r="N8" s="67" t="s">
        <v>147</v>
      </c>
      <c r="O8" s="67"/>
      <c r="P8" s="67"/>
      <c r="Q8" s="67"/>
      <c r="R8" s="131">
        <v>2474.6999999999998</v>
      </c>
    </row>
    <row r="9" spans="3:18" ht="12.75" customHeight="1" x14ac:dyDescent="0.2">
      <c r="C9" s="84" t="s">
        <v>165</v>
      </c>
      <c r="D9" s="86">
        <v>4.7019884930599998E-2</v>
      </c>
      <c r="E9" s="85">
        <v>10.063805</v>
      </c>
      <c r="F9" s="85">
        <v>3.6637529999999998</v>
      </c>
      <c r="G9" s="85">
        <v>6.1004999999999997E-2</v>
      </c>
      <c r="H9" s="86">
        <v>-3.8316671418140699E-2</v>
      </c>
      <c r="I9" s="255" t="str">
        <f>+'Forecast Assumptions'!D47</f>
        <v>NA</v>
      </c>
      <c r="J9" s="87" t="s">
        <v>85</v>
      </c>
      <c r="K9" s="257" t="str">
        <f t="shared" ref="K9:K13" si="0">+IFERROR(H9/(1+(1-I9)*J9),"NM")</f>
        <v>NM</v>
      </c>
      <c r="L9" s="85">
        <v>9.907</v>
      </c>
      <c r="M9" s="67"/>
      <c r="N9" s="67" t="s">
        <v>148</v>
      </c>
      <c r="O9" s="67"/>
      <c r="P9" s="67"/>
      <c r="Q9" s="67"/>
      <c r="R9" s="131">
        <v>194.1</v>
      </c>
    </row>
    <row r="10" spans="3:18" ht="12.75" customHeight="1" x14ac:dyDescent="0.2">
      <c r="C10" s="84" t="s">
        <v>169</v>
      </c>
      <c r="D10" s="86">
        <v>1.8034336346399999</v>
      </c>
      <c r="E10" s="85">
        <v>0.28870899999999999</v>
      </c>
      <c r="F10" s="85">
        <v>0.17952899999999999</v>
      </c>
      <c r="G10" s="85">
        <v>0.203765</v>
      </c>
      <c r="H10" s="86">
        <v>1.5180159709614001</v>
      </c>
      <c r="I10" s="255">
        <f>+'Forecast Assumptions'!D48</f>
        <v>0.83</v>
      </c>
      <c r="J10" s="85">
        <v>392.58699999999999</v>
      </c>
      <c r="K10" s="451">
        <f t="shared" si="0"/>
        <v>2.2409516931797394E-2</v>
      </c>
      <c r="L10" s="85">
        <v>1.2</v>
      </c>
      <c r="M10" s="67"/>
      <c r="N10" s="88" t="s">
        <v>149</v>
      </c>
      <c r="O10" s="88"/>
      <c r="P10" s="88"/>
      <c r="Q10" s="88"/>
      <c r="R10" s="303">
        <v>1465</v>
      </c>
    </row>
    <row r="11" spans="3:18" ht="12.75" customHeight="1" x14ac:dyDescent="0.2">
      <c r="C11" s="84" t="s">
        <v>166</v>
      </c>
      <c r="D11" s="86">
        <v>9.1281620186500004E-2</v>
      </c>
      <c r="E11" s="85">
        <v>6.7440129999999998</v>
      </c>
      <c r="F11" s="85">
        <v>3.4256850000000001</v>
      </c>
      <c r="G11" s="85">
        <v>0.54648099999999999</v>
      </c>
      <c r="H11" s="86">
        <v>0.46733886494155502</v>
      </c>
      <c r="I11" s="255" t="str">
        <f>+'Forecast Assumptions'!D49</f>
        <v>NA</v>
      </c>
      <c r="J11" s="85">
        <v>153.917</v>
      </c>
      <c r="K11" s="257" t="str">
        <f t="shared" si="0"/>
        <v>NM</v>
      </c>
      <c r="L11" s="85">
        <v>5.23</v>
      </c>
      <c r="M11" s="67"/>
    </row>
    <row r="12" spans="3:18" ht="12.75" customHeight="1" x14ac:dyDescent="0.2">
      <c r="C12" s="84" t="s">
        <v>172</v>
      </c>
      <c r="D12" s="86">
        <v>12.66122041148</v>
      </c>
      <c r="E12" s="85">
        <v>6.1846709999999998</v>
      </c>
      <c r="F12" s="85">
        <v>4.4385250000000003</v>
      </c>
      <c r="G12" s="85">
        <v>1.9620979999999999</v>
      </c>
      <c r="H12" s="86">
        <v>1.28128088133451</v>
      </c>
      <c r="I12" s="255">
        <f>+'Forecast Assumptions'!D50</f>
        <v>0.32</v>
      </c>
      <c r="J12" s="85">
        <v>543.62599999999998</v>
      </c>
      <c r="K12" s="451">
        <f t="shared" si="0"/>
        <v>3.4567022264767274E-3</v>
      </c>
      <c r="L12" s="85">
        <v>3.4420000000000002</v>
      </c>
      <c r="M12" s="89"/>
      <c r="N12" s="64" t="s">
        <v>161</v>
      </c>
      <c r="O12" s="65"/>
      <c r="P12" s="65"/>
      <c r="Q12" s="65"/>
      <c r="R12" s="66"/>
    </row>
    <row r="13" spans="3:18" ht="12.75" customHeight="1" x14ac:dyDescent="0.2">
      <c r="C13" s="2" t="s">
        <v>167</v>
      </c>
      <c r="D13" s="86">
        <v>45.727807931999997</v>
      </c>
      <c r="E13" s="85">
        <v>4.7689729999999999</v>
      </c>
      <c r="F13" s="85">
        <v>2.4809399999999999</v>
      </c>
      <c r="G13" s="85">
        <v>1.4404220000000001</v>
      </c>
      <c r="H13" s="86">
        <v>1.08498017932755</v>
      </c>
      <c r="I13" s="255" t="str">
        <f>+'Forecast Assumptions'!D51</f>
        <v>NA</v>
      </c>
      <c r="J13" s="85">
        <v>147.756</v>
      </c>
      <c r="K13" s="257" t="str">
        <f t="shared" si="0"/>
        <v>NM</v>
      </c>
      <c r="L13" s="85">
        <v>2.125</v>
      </c>
      <c r="M13" s="67"/>
      <c r="N13" s="88" t="s">
        <v>150</v>
      </c>
      <c r="O13" s="469"/>
      <c r="P13" s="469" t="s">
        <v>144</v>
      </c>
      <c r="Q13" s="469" t="s">
        <v>145</v>
      </c>
      <c r="R13" s="469" t="s">
        <v>143</v>
      </c>
    </row>
    <row r="14" spans="3:18" ht="12.75" customHeight="1" x14ac:dyDescent="0.2">
      <c r="D14" s="90"/>
      <c r="E14" s="91"/>
      <c r="F14" s="91"/>
      <c r="G14" s="91"/>
      <c r="H14" s="91"/>
      <c r="I14" s="91"/>
      <c r="J14" s="92"/>
      <c r="K14" s="78"/>
      <c r="L14" s="78"/>
      <c r="M14" s="67"/>
      <c r="N14" s="67" t="s">
        <v>151</v>
      </c>
      <c r="O14" s="96"/>
      <c r="P14" s="280">
        <f>((E18*$R$6)-$R$8+$R$9)/$R$10</f>
        <v>0.10433861999999992</v>
      </c>
      <c r="Q14" s="280">
        <f>((F18*$R$5)-$R$8+$R$9)/$R$10</f>
        <v>0.10822640273037551</v>
      </c>
      <c r="R14" s="280">
        <f>(G18*$R$5)/$R$10</f>
        <v>0.14685051194539248</v>
      </c>
    </row>
    <row r="15" spans="3:18" ht="12.75" customHeight="1" x14ac:dyDescent="0.2">
      <c r="C15" s="93" t="s">
        <v>162</v>
      </c>
      <c r="D15" s="248">
        <v>0.1</v>
      </c>
      <c r="E15" s="233">
        <v>2.6</v>
      </c>
      <c r="F15" s="233">
        <v>1.9</v>
      </c>
      <c r="G15" s="233">
        <v>0.15</v>
      </c>
      <c r="H15" s="234">
        <v>1.46</v>
      </c>
      <c r="I15" s="256">
        <f>+'Forecast Assumptions'!D6</f>
        <v>0.60099999999999998</v>
      </c>
      <c r="J15" s="94" t="s">
        <v>85</v>
      </c>
      <c r="K15" s="94" t="str">
        <f>+IFERROR(H15/(1+(1-I15)*J15),"NM")</f>
        <v>NM</v>
      </c>
      <c r="L15" s="235">
        <f>(BS!I42-BS!I6)/IS!I55</f>
        <v>3.3836969207289709</v>
      </c>
      <c r="M15" s="67"/>
      <c r="N15" s="67" t="s">
        <v>152</v>
      </c>
      <c r="O15" s="96"/>
      <c r="P15" s="280">
        <f>((E19*$R$6)-$R$8+$R$9)/$R$10</f>
        <v>1.1125457490102386</v>
      </c>
      <c r="Q15" s="280">
        <f>((F19*$R$5)-$R$8+$R$9)/$R$10</f>
        <v>1.1712740477815702</v>
      </c>
      <c r="R15" s="280">
        <f>(G19*R5)/$R$10</f>
        <v>0.86799858020477827</v>
      </c>
    </row>
    <row r="16" spans="3:18" ht="12.75" customHeight="1" x14ac:dyDescent="0.2">
      <c r="C16" s="67"/>
      <c r="D16" s="300"/>
      <c r="E16" s="95"/>
      <c r="F16" s="95"/>
      <c r="G16" s="95"/>
      <c r="H16" s="95"/>
      <c r="I16" s="95"/>
      <c r="J16" s="95"/>
      <c r="K16" s="95"/>
      <c r="L16" s="95"/>
      <c r="M16" s="67"/>
      <c r="N16" s="88" t="s">
        <v>154</v>
      </c>
      <c r="O16" s="101"/>
      <c r="P16" s="281">
        <f>((E21*$R$6)-$R$8+$R$9)/$R$10</f>
        <v>1.8911089357679181</v>
      </c>
      <c r="Q16" s="282">
        <f>((F21*$R$5)-$R$8+$R$9)/$R$10</f>
        <v>1.8136046962457339</v>
      </c>
      <c r="R16" s="281">
        <f>(G21*$R$5)/$R$10</f>
        <v>1.5464215153583618</v>
      </c>
    </row>
    <row r="17" spans="3:16" ht="12.75" customHeight="1" x14ac:dyDescent="0.2">
      <c r="C17" s="97" t="s">
        <v>153</v>
      </c>
      <c r="D17" s="98"/>
      <c r="E17" s="236">
        <f t="shared" ref="E17:L17" si="1">MIN(E8:E13)</f>
        <v>0.28870899999999999</v>
      </c>
      <c r="F17" s="236">
        <f t="shared" si="1"/>
        <v>0.17952899999999999</v>
      </c>
      <c r="G17" s="236">
        <f t="shared" si="1"/>
        <v>6.1004999999999997E-2</v>
      </c>
      <c r="H17" s="276">
        <f t="shared" si="1"/>
        <v>-3.8316671418140699E-2</v>
      </c>
      <c r="I17" s="236"/>
      <c r="J17" s="236">
        <f t="shared" si="1"/>
        <v>116.49</v>
      </c>
      <c r="K17" s="276">
        <f t="shared" ref="K17" si="2">MIN(K8:K13)</f>
        <v>-0.43930080095180046</v>
      </c>
      <c r="L17" s="283">
        <f t="shared" si="1"/>
        <v>1.2</v>
      </c>
      <c r="M17" s="67"/>
    </row>
    <row r="18" spans="3:16" ht="12.75" customHeight="1" x14ac:dyDescent="0.2">
      <c r="C18" s="99" t="s">
        <v>155</v>
      </c>
      <c r="D18" s="100"/>
      <c r="E18" s="237">
        <f t="shared" ref="E18:L18" si="3">_xlfn.QUARTILE.EXC(E8:E13, 1)</f>
        <v>3.6489069999999999</v>
      </c>
      <c r="F18" s="237">
        <f t="shared" si="3"/>
        <v>1.90558725</v>
      </c>
      <c r="G18" s="237">
        <f t="shared" si="3"/>
        <v>0.168075</v>
      </c>
      <c r="H18" s="277">
        <f t="shared" si="3"/>
        <v>0.34092498085163109</v>
      </c>
      <c r="I18" s="237"/>
      <c r="J18" s="237">
        <f t="shared" si="3"/>
        <v>132.12299999999999</v>
      </c>
      <c r="K18" s="277">
        <f t="shared" ref="K18" si="4">_xlfn.QUARTILE.EXC(K8:K13, 1)</f>
        <v>-0.43930080095180046</v>
      </c>
      <c r="L18" s="284">
        <f t="shared" si="3"/>
        <v>1.89375</v>
      </c>
      <c r="M18" s="67"/>
      <c r="P18" s="111"/>
    </row>
    <row r="19" spans="3:16" ht="12.75" customHeight="1" x14ac:dyDescent="0.2">
      <c r="C19" s="102" t="s">
        <v>152</v>
      </c>
      <c r="D19" s="103"/>
      <c r="E19" s="238">
        <f t="shared" ref="E19:L19" si="5">MEDIAN(E8:E13)</f>
        <v>5.8636669999999995</v>
      </c>
      <c r="F19" s="238">
        <f t="shared" si="5"/>
        <v>3.1222785000000002</v>
      </c>
      <c r="G19" s="238">
        <f t="shared" si="5"/>
        <v>0.99345150000000004</v>
      </c>
      <c r="H19" s="278">
        <f t="shared" si="5"/>
        <v>1.18313053033103</v>
      </c>
      <c r="I19" s="238"/>
      <c r="J19" s="238">
        <f t="shared" si="5"/>
        <v>153.917</v>
      </c>
      <c r="K19" s="278">
        <f t="shared" ref="K19" si="6">MEDIAN(K8:K13)</f>
        <v>3.4567022264767274E-3</v>
      </c>
      <c r="L19" s="285">
        <f t="shared" si="5"/>
        <v>2.8285</v>
      </c>
    </row>
    <row r="20" spans="3:16" ht="12.75" customHeight="1" x14ac:dyDescent="0.2">
      <c r="C20" s="99" t="s">
        <v>156</v>
      </c>
      <c r="D20" s="100"/>
      <c r="E20" s="237">
        <f t="shared" ref="E20:L20" si="7">AVERAGE(E8:E13)</f>
        <v>5.5988056666666672</v>
      </c>
      <c r="F20" s="237">
        <f t="shared" si="7"/>
        <v>2.8345506666666664</v>
      </c>
      <c r="G20" s="237">
        <f t="shared" si="7"/>
        <v>0.9866069999999999</v>
      </c>
      <c r="H20" s="277">
        <f t="shared" si="7"/>
        <v>0.96976935595072244</v>
      </c>
      <c r="I20" s="237"/>
      <c r="J20" s="237">
        <f t="shared" si="7"/>
        <v>270.87520000000001</v>
      </c>
      <c r="K20" s="277">
        <f t="shared" ref="K20" si="8">AVERAGE(K8:K13)</f>
        <v>-0.13781152726450879</v>
      </c>
      <c r="L20" s="284">
        <f t="shared" si="7"/>
        <v>4.0198333333333336</v>
      </c>
    </row>
    <row r="21" spans="3:16" ht="12.75" customHeight="1" x14ac:dyDescent="0.2">
      <c r="C21" s="102" t="s">
        <v>157</v>
      </c>
      <c r="D21" s="103"/>
      <c r="E21" s="238">
        <f t="shared" ref="E21:L21" si="9">_xlfn.QUARTILE.EXC(E8:E13, 3)</f>
        <v>7.5739609999999997</v>
      </c>
      <c r="F21" s="238">
        <f t="shared" si="9"/>
        <v>3.8574459999999999</v>
      </c>
      <c r="G21" s="238">
        <f t="shared" si="9"/>
        <v>1.7699277499999999</v>
      </c>
      <c r="H21" s="278">
        <f t="shared" si="9"/>
        <v>1.508491675658445</v>
      </c>
      <c r="I21" s="238"/>
      <c r="J21" s="238">
        <f t="shared" si="9"/>
        <v>468.10649999999998</v>
      </c>
      <c r="K21" s="278">
        <f>_xlfn.QUARTILE.EXC(K8:K13, 3)</f>
        <v>2.2409516931797394E-2</v>
      </c>
      <c r="L21" s="285">
        <f t="shared" si="9"/>
        <v>6.3992500000000003</v>
      </c>
    </row>
    <row r="22" spans="3:16" ht="12.75" customHeight="1" x14ac:dyDescent="0.2">
      <c r="C22" s="104" t="s">
        <v>158</v>
      </c>
      <c r="D22" s="105"/>
      <c r="E22" s="239">
        <f t="shared" ref="E22:L22" si="10">MAX(E8:E13)</f>
        <v>10.063805</v>
      </c>
      <c r="F22" s="239">
        <f t="shared" si="10"/>
        <v>4.4385250000000003</v>
      </c>
      <c r="G22" s="239">
        <f t="shared" si="10"/>
        <v>1.9620979999999999</v>
      </c>
      <c r="H22" s="279">
        <f t="shared" si="10"/>
        <v>1.5180159709614001</v>
      </c>
      <c r="I22" s="239"/>
      <c r="J22" s="239">
        <f t="shared" si="10"/>
        <v>543.62599999999998</v>
      </c>
      <c r="K22" s="279">
        <f t="shared" ref="K22" si="11">MAX(K8:K13)</f>
        <v>2.2409516931797394E-2</v>
      </c>
      <c r="L22" s="286">
        <f t="shared" si="10"/>
        <v>9.907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D52DA-0FEB-4C0E-91C6-B0A14CFCC54D}">
  <sheetPr>
    <tabColor theme="4" tint="-0.249977111117893"/>
  </sheetPr>
  <dimension ref="C2:N28"/>
  <sheetViews>
    <sheetView showGridLines="0" workbookViewId="0"/>
  </sheetViews>
  <sheetFormatPr defaultColWidth="10.28515625" defaultRowHeight="12.75" x14ac:dyDescent="0.2"/>
  <cols>
    <col min="1" max="2" width="1.5703125" style="67" customWidth="1"/>
    <col min="3" max="3" width="11.5703125" style="67" bestFit="1" customWidth="1"/>
    <col min="4" max="5" width="35.28515625" style="67" bestFit="1" customWidth="1"/>
    <col min="6" max="6" width="18.28515625" style="67" customWidth="1"/>
    <col min="7" max="7" width="13.140625" style="67" customWidth="1"/>
    <col min="8" max="8" width="9.140625" style="67" bestFit="1" customWidth="1"/>
    <col min="9" max="9" width="8.7109375" style="67"/>
    <col min="10" max="10" width="17.85546875" style="67" customWidth="1"/>
    <col min="11" max="12" width="10.28515625" style="67"/>
    <col min="13" max="14" width="12.140625" style="67" customWidth="1"/>
    <col min="15" max="16384" width="10.28515625" style="67"/>
  </cols>
  <sheetData>
    <row r="2" spans="3:14" x14ac:dyDescent="0.2">
      <c r="C2" s="383" t="s">
        <v>435</v>
      </c>
      <c r="D2" s="383"/>
      <c r="E2" s="383"/>
      <c r="F2" s="383"/>
      <c r="G2" s="383"/>
      <c r="H2" s="383"/>
      <c r="I2" s="382"/>
      <c r="J2" s="382"/>
      <c r="K2" s="382"/>
      <c r="L2" s="382"/>
    </row>
    <row r="3" spans="3:14" ht="5.0999999999999996" customHeight="1" x14ac:dyDescent="0.2"/>
    <row r="4" spans="3:14" x14ac:dyDescent="0.2">
      <c r="C4" s="64" t="s">
        <v>181</v>
      </c>
      <c r="D4" s="65"/>
      <c r="E4" s="65"/>
      <c r="F4" s="65"/>
      <c r="G4" s="65"/>
      <c r="H4" s="66"/>
    </row>
    <row r="5" spans="3:14" x14ac:dyDescent="0.2">
      <c r="C5" s="68"/>
      <c r="D5" s="68"/>
      <c r="E5" s="68"/>
      <c r="F5" s="69"/>
      <c r="G5" s="69"/>
      <c r="H5" s="69"/>
    </row>
    <row r="6" spans="3:14" ht="25.5" x14ac:dyDescent="0.2">
      <c r="C6" s="64" t="s">
        <v>174</v>
      </c>
      <c r="D6" s="65" t="s">
        <v>175</v>
      </c>
      <c r="E6" s="65" t="s">
        <v>176</v>
      </c>
      <c r="F6" s="70" t="s">
        <v>177</v>
      </c>
      <c r="G6" s="71" t="s">
        <v>144</v>
      </c>
      <c r="H6" s="72" t="s">
        <v>145</v>
      </c>
      <c r="J6" s="64" t="s">
        <v>159</v>
      </c>
      <c r="K6" s="65"/>
      <c r="L6" s="65"/>
      <c r="M6" s="65"/>
      <c r="N6" s="66"/>
    </row>
    <row r="7" spans="3:14" x14ac:dyDescent="0.2">
      <c r="C7" s="240">
        <v>44286</v>
      </c>
      <c r="D7" s="73" t="s">
        <v>194</v>
      </c>
      <c r="E7" s="73" t="s">
        <v>182</v>
      </c>
      <c r="F7" s="75">
        <v>285.7</v>
      </c>
      <c r="G7" s="76" t="s">
        <v>179</v>
      </c>
      <c r="H7" s="76" t="s">
        <v>179</v>
      </c>
      <c r="J7" s="74" t="s">
        <v>173</v>
      </c>
      <c r="N7" s="319">
        <f>'Trading Comps'!R5</f>
        <v>1280</v>
      </c>
    </row>
    <row r="8" spans="3:14" ht="15" customHeight="1" x14ac:dyDescent="0.2">
      <c r="C8" s="240">
        <v>44742</v>
      </c>
      <c r="D8" s="73" t="s">
        <v>183</v>
      </c>
      <c r="E8" s="73" t="s">
        <v>180</v>
      </c>
      <c r="F8" s="75">
        <v>1622.5139999999999</v>
      </c>
      <c r="G8" s="76">
        <v>1.9131287845870999</v>
      </c>
      <c r="H8" s="76">
        <v>6.2983591411790698</v>
      </c>
      <c r="J8" s="74" t="s">
        <v>178</v>
      </c>
      <c r="N8" s="319">
        <f>'Trading Comps'!R6</f>
        <v>666.9</v>
      </c>
    </row>
    <row r="9" spans="3:14" x14ac:dyDescent="0.2">
      <c r="C9" s="240">
        <v>45085</v>
      </c>
      <c r="D9" s="73" t="s">
        <v>195</v>
      </c>
      <c r="E9" s="73" t="s">
        <v>188</v>
      </c>
      <c r="F9" s="75">
        <v>238.61047330114201</v>
      </c>
      <c r="G9" s="76">
        <v>1.1119480294448001</v>
      </c>
      <c r="H9" s="76">
        <v>0.75377507694019297</v>
      </c>
      <c r="J9" s="74" t="s">
        <v>147</v>
      </c>
      <c r="N9" s="319">
        <f>'Trading Comps'!R8</f>
        <v>2474.6999999999998</v>
      </c>
    </row>
    <row r="10" spans="3:14" ht="14.45" customHeight="1" x14ac:dyDescent="0.2">
      <c r="C10" s="240">
        <v>45601</v>
      </c>
      <c r="D10" s="73" t="s">
        <v>223</v>
      </c>
      <c r="E10" s="73" t="s">
        <v>189</v>
      </c>
      <c r="F10" s="75">
        <v>30.884035238580498</v>
      </c>
      <c r="G10" s="76">
        <v>1.6549055171501299</v>
      </c>
      <c r="H10" s="76">
        <v>0.42957061466124202</v>
      </c>
      <c r="J10" s="74" t="s">
        <v>148</v>
      </c>
      <c r="N10" s="319">
        <f>'Trading Comps'!R9</f>
        <v>194.1</v>
      </c>
    </row>
    <row r="11" spans="3:14" x14ac:dyDescent="0.2">
      <c r="C11" s="240">
        <v>45184</v>
      </c>
      <c r="D11" s="73" t="s">
        <v>196</v>
      </c>
      <c r="E11" s="73" t="s">
        <v>190</v>
      </c>
      <c r="F11" s="75">
        <v>11.461876221847699</v>
      </c>
      <c r="G11" s="76">
        <v>3.87160299590421</v>
      </c>
      <c r="H11" s="76">
        <v>2.4675289676330898</v>
      </c>
      <c r="J11" s="74" t="s">
        <v>149</v>
      </c>
      <c r="N11" s="319">
        <f>'Trading Comps'!R10</f>
        <v>1465</v>
      </c>
    </row>
    <row r="12" spans="3:14" x14ac:dyDescent="0.2">
      <c r="C12" s="240">
        <v>45642</v>
      </c>
      <c r="D12" s="73" t="s">
        <v>201</v>
      </c>
      <c r="E12" s="73" t="s">
        <v>191</v>
      </c>
      <c r="F12" s="75">
        <v>145.57143177338099</v>
      </c>
      <c r="G12" s="76">
        <v>2.3921570094476698</v>
      </c>
      <c r="H12" s="76">
        <v>1.2405837514112401</v>
      </c>
    </row>
    <row r="13" spans="3:14" x14ac:dyDescent="0.2">
      <c r="C13" s="240">
        <v>45740</v>
      </c>
      <c r="D13" s="73" t="s">
        <v>197</v>
      </c>
      <c r="E13" s="73" t="s">
        <v>198</v>
      </c>
      <c r="F13" s="75">
        <v>4.5515221421552301</v>
      </c>
      <c r="G13" s="76">
        <v>3.9345306875505499</v>
      </c>
      <c r="H13" s="76">
        <v>0.38065390068504201</v>
      </c>
      <c r="J13" s="64" t="s">
        <v>161</v>
      </c>
      <c r="K13" s="65"/>
      <c r="L13" s="65"/>
      <c r="M13" s="65"/>
      <c r="N13" s="66"/>
    </row>
    <row r="14" spans="3:14" x14ac:dyDescent="0.2">
      <c r="C14" s="240">
        <v>44900</v>
      </c>
      <c r="D14" s="67" t="s">
        <v>199</v>
      </c>
      <c r="E14" s="67" t="s">
        <v>200</v>
      </c>
      <c r="F14" s="75">
        <v>37.278012559904099</v>
      </c>
      <c r="G14" s="76">
        <v>2.1367731011228699</v>
      </c>
      <c r="H14" s="76">
        <v>1.3167241387789399</v>
      </c>
      <c r="J14" s="74"/>
      <c r="K14" s="74"/>
      <c r="M14" s="379" t="s">
        <v>140</v>
      </c>
      <c r="N14" s="379"/>
    </row>
    <row r="15" spans="3:14" x14ac:dyDescent="0.2">
      <c r="C15" s="240">
        <v>45107</v>
      </c>
      <c r="D15" s="67" t="s">
        <v>184</v>
      </c>
      <c r="E15" s="67" t="s">
        <v>185</v>
      </c>
      <c r="F15" s="75">
        <v>905.92018800000005</v>
      </c>
      <c r="G15" s="76" t="s">
        <v>179</v>
      </c>
      <c r="H15" s="76" t="s">
        <v>179</v>
      </c>
      <c r="J15" s="375" t="s">
        <v>150</v>
      </c>
      <c r="K15" s="375"/>
      <c r="M15" s="380" t="s">
        <v>144</v>
      </c>
      <c r="N15" s="380" t="s">
        <v>145</v>
      </c>
    </row>
    <row r="16" spans="3:14" x14ac:dyDescent="0.2">
      <c r="C16" s="240">
        <v>45296</v>
      </c>
      <c r="D16" s="67" t="s">
        <v>186</v>
      </c>
      <c r="E16" s="67" t="s">
        <v>187</v>
      </c>
      <c r="F16" s="75">
        <v>445</v>
      </c>
      <c r="G16" s="76" t="s">
        <v>179</v>
      </c>
      <c r="H16" s="76" t="s">
        <v>179</v>
      </c>
      <c r="J16" s="376" t="s">
        <v>152</v>
      </c>
      <c r="K16" s="376"/>
      <c r="L16" s="377"/>
      <c r="M16" s="378">
        <f>(($G$21*$N$8)-$N$9+$N$10)/$N$11</f>
        <v>-0.52588959360426846</v>
      </c>
      <c r="N16" s="378">
        <f>(($H$21*$N$7)-$N$9+$N$10)/$N$11</f>
        <v>-0.43953785001930679</v>
      </c>
    </row>
    <row r="17" spans="3:8" x14ac:dyDescent="0.2">
      <c r="C17" s="240">
        <v>45596</v>
      </c>
      <c r="D17" s="67" t="s">
        <v>192</v>
      </c>
      <c r="E17" s="67" t="s">
        <v>193</v>
      </c>
      <c r="F17" s="75">
        <v>322.83023300928301</v>
      </c>
      <c r="G17" s="76">
        <v>4.3503549640526904</v>
      </c>
      <c r="H17" s="76">
        <v>1.5963430725946</v>
      </c>
    </row>
    <row r="19" spans="3:8" x14ac:dyDescent="0.2">
      <c r="C19" s="97" t="s">
        <v>153</v>
      </c>
      <c r="D19" s="361"/>
      <c r="E19" s="361"/>
      <c r="F19" s="362"/>
      <c r="G19" s="363">
        <f>MIN(G7:G17)</f>
        <v>1.1119480294448001</v>
      </c>
      <c r="H19" s="364">
        <f>MIN(H7:H17)</f>
        <v>0.38065390068504201</v>
      </c>
    </row>
    <row r="20" spans="3:8" x14ac:dyDescent="0.2">
      <c r="C20" s="99" t="s">
        <v>155</v>
      </c>
      <c r="F20" s="365"/>
      <c r="G20" s="366">
        <f>_xlfn.QUARTILE.INC(G7:G17,1)</f>
        <v>1.8485729677278573</v>
      </c>
      <c r="H20" s="367">
        <f>_xlfn.QUARTILE.INC(H7:H17,1)</f>
        <v>0.6727239613704552</v>
      </c>
    </row>
    <row r="21" spans="3:8" x14ac:dyDescent="0.2">
      <c r="C21" s="102" t="s">
        <v>152</v>
      </c>
      <c r="D21" s="368"/>
      <c r="E21" s="368"/>
      <c r="F21" s="369"/>
      <c r="G21" s="370">
        <f>MEDIAN(G7:G17)</f>
        <v>2.2644650552852701</v>
      </c>
      <c r="H21" s="371">
        <f>MEDIAN(H7:H17)</f>
        <v>1.27865394509509</v>
      </c>
    </row>
    <row r="22" spans="3:8" x14ac:dyDescent="0.2">
      <c r="C22" s="99" t="s">
        <v>156</v>
      </c>
      <c r="F22" s="365"/>
      <c r="G22" s="366">
        <f>AVERAGE(G7:G17)</f>
        <v>2.6706751361575027</v>
      </c>
      <c r="H22" s="367">
        <f>AVERAGE(H7:H17)</f>
        <v>1.8104423329854269</v>
      </c>
    </row>
    <row r="23" spans="3:8" x14ac:dyDescent="0.2">
      <c r="C23" s="102" t="s">
        <v>157</v>
      </c>
      <c r="D23" s="368"/>
      <c r="E23" s="368"/>
      <c r="F23" s="369"/>
      <c r="G23" s="370">
        <f>_xlfn.QUARTILE.INC(G7:G17,3)</f>
        <v>3.8873349188157951</v>
      </c>
      <c r="H23" s="371">
        <f>_xlfn.QUARTILE.INC(H7:H17,3)</f>
        <v>1.8141395463542225</v>
      </c>
    </row>
    <row r="24" spans="3:8" x14ac:dyDescent="0.2">
      <c r="C24" s="104" t="s">
        <v>158</v>
      </c>
      <c r="D24" s="88"/>
      <c r="E24" s="88"/>
      <c r="F24" s="372"/>
      <c r="G24" s="373">
        <f>MAX(G7:G17)</f>
        <v>4.3503549640526904</v>
      </c>
      <c r="H24" s="374">
        <f t="shared" ref="H24" si="0">MAX(H7:H17)</f>
        <v>6.2983591411790698</v>
      </c>
    </row>
    <row r="27" spans="3:8" x14ac:dyDescent="0.2">
      <c r="F27" s="506"/>
    </row>
    <row r="28" spans="3:8" x14ac:dyDescent="0.2">
      <c r="F28" s="506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43104-EBCA-4B0C-81F4-68414D87DCEB}">
  <sheetPr>
    <tabColor theme="2" tint="-9.9978637043366805E-2"/>
  </sheetPr>
  <dimension ref="A2:O89"/>
  <sheetViews>
    <sheetView showGridLines="0" workbookViewId="0"/>
  </sheetViews>
  <sheetFormatPr defaultColWidth="10.140625" defaultRowHeight="12.75" x14ac:dyDescent="0.2"/>
  <cols>
    <col min="1" max="2" width="1.7109375" style="67" customWidth="1"/>
    <col min="3" max="3" width="33.5703125" style="67" bestFit="1" customWidth="1"/>
    <col min="4" max="4" width="17.85546875" style="67" customWidth="1"/>
    <col min="5" max="7" width="35" style="67" customWidth="1"/>
    <col min="8" max="8" width="29" style="113" bestFit="1" customWidth="1"/>
    <col min="9" max="12" width="20.7109375" style="67" customWidth="1"/>
    <col min="13" max="13" width="36.7109375" style="67" bestFit="1" customWidth="1"/>
    <col min="14" max="16384" width="10.140625" style="67"/>
  </cols>
  <sheetData>
    <row r="2" spans="3:8" x14ac:dyDescent="0.2">
      <c r="C2" s="151" t="s">
        <v>297</v>
      </c>
      <c r="D2" s="151"/>
      <c r="E2" s="151"/>
      <c r="F2" s="151"/>
      <c r="G2" s="151"/>
      <c r="H2" s="151"/>
    </row>
    <row r="3" spans="3:8" ht="5.0999999999999996" customHeight="1" x14ac:dyDescent="0.2">
      <c r="H3" s="67"/>
    </row>
    <row r="4" spans="3:8" x14ac:dyDescent="0.2">
      <c r="C4" s="64" t="s">
        <v>364</v>
      </c>
      <c r="D4" s="65" t="s">
        <v>214</v>
      </c>
      <c r="E4" s="65" t="s">
        <v>215</v>
      </c>
      <c r="F4" s="70"/>
      <c r="G4" s="71"/>
      <c r="H4" s="147" t="s">
        <v>216</v>
      </c>
    </row>
    <row r="5" spans="3:8" x14ac:dyDescent="0.2">
      <c r="C5" s="67" t="s">
        <v>296</v>
      </c>
      <c r="D5" s="119"/>
      <c r="H5" s="114"/>
    </row>
    <row r="6" spans="3:8" x14ac:dyDescent="0.2">
      <c r="C6" s="67" t="s">
        <v>292</v>
      </c>
      <c r="D6" s="125">
        <v>0.60099999999999998</v>
      </c>
      <c r="E6" s="67" t="s">
        <v>293</v>
      </c>
      <c r="H6" s="114" t="s">
        <v>162</v>
      </c>
    </row>
    <row r="7" spans="3:8" x14ac:dyDescent="0.2">
      <c r="C7" s="67" t="s">
        <v>535</v>
      </c>
      <c r="D7" s="113">
        <v>300</v>
      </c>
      <c r="E7" s="67" t="s">
        <v>536</v>
      </c>
      <c r="H7" s="114"/>
    </row>
    <row r="8" spans="3:8" x14ac:dyDescent="0.2">
      <c r="D8" s="125"/>
      <c r="H8" s="114"/>
    </row>
    <row r="9" spans="3:8" x14ac:dyDescent="0.2">
      <c r="C9" s="64" t="s">
        <v>599</v>
      </c>
      <c r="D9" s="65" t="s">
        <v>214</v>
      </c>
      <c r="E9" s="65" t="s">
        <v>215</v>
      </c>
      <c r="F9" s="70"/>
      <c r="G9" s="71"/>
      <c r="H9" s="147" t="s">
        <v>216</v>
      </c>
    </row>
    <row r="10" spans="3:8" x14ac:dyDescent="0.2">
      <c r="C10" s="67" t="s">
        <v>295</v>
      </c>
      <c r="D10" s="113"/>
      <c r="E10" s="67" t="s">
        <v>541</v>
      </c>
      <c r="H10" s="114" t="s">
        <v>162</v>
      </c>
    </row>
    <row r="11" spans="3:8" x14ac:dyDescent="0.2">
      <c r="C11" s="67" t="s">
        <v>294</v>
      </c>
      <c r="D11" s="113">
        <v>500</v>
      </c>
      <c r="E11" s="67" t="s">
        <v>542</v>
      </c>
      <c r="H11" s="114" t="s">
        <v>162</v>
      </c>
    </row>
    <row r="12" spans="3:8" x14ac:dyDescent="0.2">
      <c r="C12" s="67" t="s">
        <v>301</v>
      </c>
      <c r="D12" s="113"/>
      <c r="E12" s="67" t="s">
        <v>551</v>
      </c>
      <c r="H12" s="162" t="s">
        <v>162</v>
      </c>
    </row>
    <row r="13" spans="3:8" x14ac:dyDescent="0.2">
      <c r="C13" s="67" t="s">
        <v>302</v>
      </c>
      <c r="D13" s="163">
        <v>2</v>
      </c>
      <c r="H13" s="162"/>
    </row>
    <row r="14" spans="3:8" x14ac:dyDescent="0.2">
      <c r="C14" s="67" t="s">
        <v>303</v>
      </c>
      <c r="D14" s="163">
        <v>1.5</v>
      </c>
      <c r="H14" s="162"/>
    </row>
    <row r="15" spans="3:8" x14ac:dyDescent="0.2">
      <c r="C15" s="67" t="s">
        <v>304</v>
      </c>
      <c r="D15" s="113"/>
      <c r="E15" s="67" t="s">
        <v>305</v>
      </c>
      <c r="H15" s="162" t="s">
        <v>162</v>
      </c>
    </row>
    <row r="16" spans="3:8" x14ac:dyDescent="0.2">
      <c r="D16" s="113"/>
    </row>
    <row r="17" spans="3:15" x14ac:dyDescent="0.2">
      <c r="C17" s="64" t="s">
        <v>247</v>
      </c>
      <c r="D17" s="65">
        <v>2025</v>
      </c>
      <c r="E17" s="65">
        <v>2026</v>
      </c>
      <c r="F17" s="65">
        <v>2032</v>
      </c>
      <c r="G17" s="65" t="s">
        <v>235</v>
      </c>
      <c r="H17" s="65"/>
    </row>
    <row r="18" spans="3:15" s="79" customFormat="1" ht="15" x14ac:dyDescent="0.25">
      <c r="C18" s="79" t="s">
        <v>236</v>
      </c>
      <c r="D18" s="121"/>
      <c r="E18" s="121"/>
      <c r="F18" s="121"/>
      <c r="G18" s="122"/>
    </row>
    <row r="19" spans="3:15" ht="15" x14ac:dyDescent="0.25">
      <c r="C19" t="s">
        <v>227</v>
      </c>
      <c r="D19" s="132">
        <v>71.5</v>
      </c>
      <c r="E19" s="132">
        <v>59</v>
      </c>
      <c r="F19" s="132">
        <v>73</v>
      </c>
      <c r="G19" s="120" t="s">
        <v>543</v>
      </c>
      <c r="H19" s="120" t="s">
        <v>246</v>
      </c>
    </row>
    <row r="20" spans="3:15" ht="15" x14ac:dyDescent="0.25">
      <c r="C20" t="s">
        <v>228</v>
      </c>
      <c r="D20" s="132">
        <v>69</v>
      </c>
      <c r="E20" s="132">
        <v>53</v>
      </c>
      <c r="F20" s="132">
        <v>50</v>
      </c>
      <c r="G20" s="120" t="s">
        <v>234</v>
      </c>
      <c r="H20" s="120" t="s">
        <v>246</v>
      </c>
      <c r="I20" s="2"/>
    </row>
    <row r="21" spans="3:15" ht="15" x14ac:dyDescent="0.25">
      <c r="C21" t="s">
        <v>229</v>
      </c>
      <c r="D21" s="132">
        <v>70</v>
      </c>
      <c r="E21" s="132">
        <v>65</v>
      </c>
      <c r="F21" s="132">
        <v>60</v>
      </c>
      <c r="G21" s="120" t="s">
        <v>544</v>
      </c>
      <c r="H21" s="120" t="s">
        <v>246</v>
      </c>
      <c r="I21" s="2"/>
    </row>
    <row r="22" spans="3:15" ht="15" x14ac:dyDescent="0.25">
      <c r="C22" t="s">
        <v>230</v>
      </c>
      <c r="D22" s="132" t="s">
        <v>231</v>
      </c>
      <c r="E22" s="132">
        <v>60</v>
      </c>
      <c r="F22" s="132">
        <v>65</v>
      </c>
      <c r="G22" s="120" t="s">
        <v>552</v>
      </c>
      <c r="H22" s="120" t="s">
        <v>246</v>
      </c>
      <c r="I22" s="2"/>
    </row>
    <row r="23" spans="3:15" ht="15" x14ac:dyDescent="0.25">
      <c r="C23" t="s">
        <v>232</v>
      </c>
      <c r="D23" s="132">
        <v>73</v>
      </c>
      <c r="E23" s="132">
        <v>60</v>
      </c>
      <c r="F23" s="132">
        <v>73</v>
      </c>
      <c r="G23" s="120" t="s">
        <v>545</v>
      </c>
      <c r="H23" s="120" t="s">
        <v>246</v>
      </c>
      <c r="I23" s="2"/>
    </row>
    <row r="24" spans="3:15" x14ac:dyDescent="0.2">
      <c r="C24" s="116" t="s">
        <v>233</v>
      </c>
      <c r="D24" s="434">
        <f>AVERAGE(D19:D23)</f>
        <v>70.875</v>
      </c>
      <c r="E24" s="434">
        <f>AVERAGE(E19:E23)</f>
        <v>59.4</v>
      </c>
      <c r="F24" s="434">
        <f>AVERAGE(F19:F23)</f>
        <v>64.2</v>
      </c>
      <c r="H24" s="2"/>
      <c r="I24" s="2"/>
    </row>
    <row r="25" spans="3:15" x14ac:dyDescent="0.2">
      <c r="C25" s="116"/>
      <c r="D25" s="118"/>
      <c r="E25" s="118"/>
      <c r="F25" s="118"/>
      <c r="H25" s="2"/>
      <c r="I25" s="2"/>
    </row>
    <row r="26" spans="3:15" x14ac:dyDescent="0.2">
      <c r="C26" s="64" t="s">
        <v>248</v>
      </c>
      <c r="D26" s="65">
        <v>2025</v>
      </c>
      <c r="E26" s="65">
        <v>2026</v>
      </c>
      <c r="F26" s="65">
        <v>2032</v>
      </c>
      <c r="G26" s="65" t="s">
        <v>235</v>
      </c>
      <c r="H26" s="65"/>
    </row>
    <row r="27" spans="3:15" ht="15" x14ac:dyDescent="0.25">
      <c r="C27" s="79" t="s">
        <v>237</v>
      </c>
      <c r="H27" s="120"/>
      <c r="I27" s="2"/>
    </row>
    <row r="28" spans="3:15" ht="15" x14ac:dyDescent="0.25">
      <c r="C28" s="67" t="s">
        <v>227</v>
      </c>
      <c r="D28" s="132">
        <v>3.8</v>
      </c>
      <c r="E28" s="132">
        <v>4</v>
      </c>
      <c r="F28" s="132">
        <v>4.2</v>
      </c>
      <c r="G28" s="120" t="s">
        <v>245</v>
      </c>
      <c r="H28" s="120" t="s">
        <v>246</v>
      </c>
      <c r="I28" s="2"/>
    </row>
    <row r="29" spans="3:15" ht="15" x14ac:dyDescent="0.25">
      <c r="D29" s="117"/>
      <c r="E29" s="117"/>
      <c r="F29" s="117"/>
      <c r="G29" s="120"/>
      <c r="H29" s="120"/>
      <c r="I29" s="2"/>
    </row>
    <row r="30" spans="3:15" x14ac:dyDescent="0.2">
      <c r="C30" s="64" t="s">
        <v>238</v>
      </c>
      <c r="D30" s="124" t="s">
        <v>249</v>
      </c>
      <c r="E30" s="65" t="s">
        <v>532</v>
      </c>
      <c r="F30" s="65" t="s">
        <v>533</v>
      </c>
      <c r="G30" s="65" t="s">
        <v>215</v>
      </c>
      <c r="H30" s="66" t="s">
        <v>216</v>
      </c>
      <c r="I30" s="68"/>
      <c r="J30" s="68"/>
      <c r="K30" s="68"/>
    </row>
    <row r="31" spans="3:15" x14ac:dyDescent="0.2">
      <c r="C31" s="113">
        <v>2025</v>
      </c>
      <c r="D31" s="131">
        <v>37000</v>
      </c>
      <c r="E31" s="131">
        <v>6000</v>
      </c>
      <c r="F31" s="435">
        <f>+SUM(D31:E31)</f>
        <v>43000</v>
      </c>
      <c r="G31" s="67" t="s">
        <v>226</v>
      </c>
      <c r="H31" s="114" t="s">
        <v>550</v>
      </c>
      <c r="I31" s="115"/>
      <c r="J31" s="115"/>
      <c r="K31" s="115"/>
      <c r="O31" s="325"/>
    </row>
    <row r="32" spans="3:15" x14ac:dyDescent="0.2">
      <c r="C32" s="113">
        <v>2026</v>
      </c>
      <c r="D32" s="131">
        <v>39000</v>
      </c>
      <c r="E32" s="131">
        <v>6500</v>
      </c>
      <c r="F32" s="435">
        <f t="shared" ref="F32:F40" si="0">+SUM(D32:E32)</f>
        <v>45500</v>
      </c>
      <c r="G32" s="67" t="s">
        <v>239</v>
      </c>
      <c r="H32" s="114" t="s">
        <v>550</v>
      </c>
      <c r="I32" s="115"/>
      <c r="J32" s="115"/>
      <c r="K32" s="115"/>
      <c r="O32" s="325"/>
    </row>
    <row r="33" spans="1:15" x14ac:dyDescent="0.2">
      <c r="C33" s="113">
        <v>2027</v>
      </c>
      <c r="D33" s="131">
        <v>38500</v>
      </c>
      <c r="E33" s="131">
        <v>6800</v>
      </c>
      <c r="F33" s="435">
        <f t="shared" si="0"/>
        <v>45300</v>
      </c>
      <c r="G33" s="67" t="s">
        <v>240</v>
      </c>
      <c r="H33" s="114" t="s">
        <v>550</v>
      </c>
      <c r="I33" s="115"/>
      <c r="J33" s="115"/>
      <c r="K33" s="115"/>
      <c r="O33" s="325"/>
    </row>
    <row r="34" spans="1:15" x14ac:dyDescent="0.2">
      <c r="C34" s="113">
        <v>2028</v>
      </c>
      <c r="D34" s="131">
        <v>37000</v>
      </c>
      <c r="E34" s="131">
        <v>7000</v>
      </c>
      <c r="F34" s="435">
        <f t="shared" si="0"/>
        <v>44000</v>
      </c>
      <c r="G34" s="67" t="s">
        <v>244</v>
      </c>
      <c r="H34" s="114" t="s">
        <v>550</v>
      </c>
      <c r="I34" s="115"/>
      <c r="J34" s="115"/>
      <c r="K34" s="115"/>
      <c r="O34" s="325"/>
    </row>
    <row r="35" spans="1:15" x14ac:dyDescent="0.2">
      <c r="C35" s="113">
        <v>2029</v>
      </c>
      <c r="D35" s="131">
        <v>35500</v>
      </c>
      <c r="E35" s="131">
        <v>7200</v>
      </c>
      <c r="F35" s="435">
        <f t="shared" si="0"/>
        <v>42700</v>
      </c>
      <c r="G35" s="67" t="s">
        <v>546</v>
      </c>
      <c r="H35" s="114" t="s">
        <v>547</v>
      </c>
      <c r="I35" s="115"/>
      <c r="J35" s="115"/>
      <c r="K35" s="115"/>
      <c r="O35" s="325"/>
    </row>
    <row r="36" spans="1:15" x14ac:dyDescent="0.2">
      <c r="C36" s="113">
        <v>2030</v>
      </c>
      <c r="D36" s="131">
        <v>34000</v>
      </c>
      <c r="E36" s="131">
        <v>7400</v>
      </c>
      <c r="F36" s="435">
        <f t="shared" si="0"/>
        <v>41400</v>
      </c>
      <c r="G36" s="67" t="s">
        <v>241</v>
      </c>
      <c r="H36" s="114" t="s">
        <v>550</v>
      </c>
      <c r="I36" s="115"/>
      <c r="J36" s="115"/>
      <c r="K36" s="115"/>
      <c r="O36" s="325"/>
    </row>
    <row r="37" spans="1:15" x14ac:dyDescent="0.2">
      <c r="C37" s="113">
        <v>2031</v>
      </c>
      <c r="D37" s="131">
        <v>32000</v>
      </c>
      <c r="E37" s="131">
        <v>7600</v>
      </c>
      <c r="F37" s="435">
        <f t="shared" si="0"/>
        <v>39600</v>
      </c>
      <c r="G37" s="67" t="s">
        <v>548</v>
      </c>
      <c r="H37" s="114" t="s">
        <v>550</v>
      </c>
      <c r="I37" s="115"/>
      <c r="J37" s="115"/>
      <c r="K37" s="115"/>
      <c r="O37" s="325"/>
    </row>
    <row r="38" spans="1:15" x14ac:dyDescent="0.2">
      <c r="C38" s="113">
        <v>2032</v>
      </c>
      <c r="D38" s="131">
        <v>30000</v>
      </c>
      <c r="E38" s="131">
        <v>7800</v>
      </c>
      <c r="F38" s="435">
        <f t="shared" si="0"/>
        <v>37800</v>
      </c>
      <c r="G38" s="67" t="s">
        <v>242</v>
      </c>
      <c r="H38" s="114" t="s">
        <v>550</v>
      </c>
      <c r="I38" s="115"/>
      <c r="J38" s="115"/>
      <c r="K38" s="115"/>
      <c r="O38" s="325"/>
    </row>
    <row r="39" spans="1:15" x14ac:dyDescent="0.2">
      <c r="C39" s="113">
        <v>2033</v>
      </c>
      <c r="D39" s="131">
        <v>28000</v>
      </c>
      <c r="E39" s="131">
        <v>8000</v>
      </c>
      <c r="F39" s="435">
        <f t="shared" si="0"/>
        <v>36000</v>
      </c>
      <c r="G39" s="67" t="s">
        <v>243</v>
      </c>
      <c r="H39" s="114" t="s">
        <v>550</v>
      </c>
      <c r="I39" s="115"/>
      <c r="J39" s="115"/>
      <c r="K39" s="115"/>
      <c r="O39" s="325"/>
    </row>
    <row r="40" spans="1:15" x14ac:dyDescent="0.2">
      <c r="C40" s="113">
        <v>2034</v>
      </c>
      <c r="D40" s="131">
        <v>26000</v>
      </c>
      <c r="E40" s="131">
        <v>8000</v>
      </c>
      <c r="F40" s="435">
        <f t="shared" si="0"/>
        <v>34000</v>
      </c>
      <c r="G40" s="67" t="s">
        <v>549</v>
      </c>
      <c r="H40" s="114" t="s">
        <v>547</v>
      </c>
      <c r="I40" s="115"/>
      <c r="J40" s="115"/>
      <c r="K40" s="115"/>
      <c r="O40" s="325"/>
    </row>
    <row r="41" spans="1:15" x14ac:dyDescent="0.2">
      <c r="D41" s="112"/>
    </row>
    <row r="42" spans="1:15" x14ac:dyDescent="0.2">
      <c r="C42" s="64" t="s">
        <v>365</v>
      </c>
      <c r="D42" s="65" t="s">
        <v>214</v>
      </c>
      <c r="E42" s="65" t="s">
        <v>215</v>
      </c>
      <c r="F42" s="70"/>
      <c r="G42" s="71"/>
      <c r="H42" s="147" t="s">
        <v>216</v>
      </c>
    </row>
    <row r="43" spans="1:15" x14ac:dyDescent="0.2">
      <c r="A43" s="79"/>
      <c r="B43" s="79"/>
      <c r="C43" s="67" t="s">
        <v>439</v>
      </c>
      <c r="D43" s="298">
        <v>0</v>
      </c>
      <c r="E43" s="67" t="s">
        <v>440</v>
      </c>
      <c r="H43" s="162" t="s">
        <v>442</v>
      </c>
    </row>
    <row r="44" spans="1:15" x14ac:dyDescent="0.2">
      <c r="A44" s="79"/>
      <c r="B44" s="79"/>
      <c r="D44" s="298"/>
      <c r="H44" s="162"/>
    </row>
    <row r="45" spans="1:15" x14ac:dyDescent="0.2">
      <c r="C45" s="79" t="s">
        <v>383</v>
      </c>
    </row>
    <row r="46" spans="1:15" x14ac:dyDescent="0.2">
      <c r="C46" s="67" t="s">
        <v>168</v>
      </c>
      <c r="D46" s="251">
        <v>1.038</v>
      </c>
      <c r="E46" s="67" t="s">
        <v>366</v>
      </c>
      <c r="H46" s="162" t="s">
        <v>361</v>
      </c>
    </row>
    <row r="47" spans="1:15" x14ac:dyDescent="0.2">
      <c r="C47" s="67" t="s">
        <v>165</v>
      </c>
      <c r="D47" s="250" t="s">
        <v>179</v>
      </c>
      <c r="I47" s="317"/>
    </row>
    <row r="48" spans="1:15" x14ac:dyDescent="0.2">
      <c r="C48" s="67" t="s">
        <v>169</v>
      </c>
      <c r="D48" s="251">
        <v>0.83</v>
      </c>
      <c r="E48" s="67" t="s">
        <v>376</v>
      </c>
      <c r="H48" s="162" t="s">
        <v>362</v>
      </c>
    </row>
    <row r="49" spans="3:8" x14ac:dyDescent="0.2">
      <c r="C49" s="67" t="s">
        <v>166</v>
      </c>
      <c r="D49" s="250" t="s">
        <v>179</v>
      </c>
    </row>
    <row r="50" spans="3:8" x14ac:dyDescent="0.2">
      <c r="C50" s="67" t="s">
        <v>172</v>
      </c>
      <c r="D50" s="251">
        <v>0.32</v>
      </c>
      <c r="E50" s="67" t="s">
        <v>375</v>
      </c>
      <c r="H50" s="162" t="s">
        <v>363</v>
      </c>
    </row>
    <row r="51" spans="3:8" x14ac:dyDescent="0.2">
      <c r="C51" s="67" t="s">
        <v>167</v>
      </c>
      <c r="D51" s="250" t="s">
        <v>179</v>
      </c>
    </row>
    <row r="52" spans="3:8" x14ac:dyDescent="0.2">
      <c r="D52" s="250"/>
    </row>
    <row r="53" spans="3:8" x14ac:dyDescent="0.2">
      <c r="C53" s="79" t="s">
        <v>384</v>
      </c>
      <c r="D53" s="112"/>
    </row>
    <row r="54" spans="3:8" x14ac:dyDescent="0.2">
      <c r="C54" s="67" t="s">
        <v>385</v>
      </c>
      <c r="D54" s="287">
        <v>0.69</v>
      </c>
      <c r="H54" s="162" t="s">
        <v>386</v>
      </c>
    </row>
    <row r="55" spans="3:8" x14ac:dyDescent="0.2">
      <c r="C55" s="288"/>
      <c r="D55" s="289"/>
      <c r="E55" s="125"/>
      <c r="F55" s="290"/>
    </row>
    <row r="56" spans="3:8" s="79" customFormat="1" x14ac:dyDescent="0.2">
      <c r="C56" s="293" t="s">
        <v>402</v>
      </c>
      <c r="D56" s="294"/>
      <c r="E56" s="295"/>
      <c r="F56" s="296"/>
      <c r="H56" s="297"/>
    </row>
    <row r="57" spans="3:8" x14ac:dyDescent="0.2">
      <c r="C57" s="288" t="s">
        <v>397</v>
      </c>
      <c r="D57" s="125">
        <v>5.7500000000000002E-2</v>
      </c>
      <c r="E57" s="266" t="s">
        <v>399</v>
      </c>
      <c r="F57" s="290"/>
      <c r="H57" s="162" t="s">
        <v>398</v>
      </c>
    </row>
    <row r="58" spans="3:8" x14ac:dyDescent="0.2">
      <c r="C58" s="288"/>
      <c r="D58" s="125"/>
      <c r="E58" s="266"/>
      <c r="F58" s="290"/>
      <c r="H58" s="162"/>
    </row>
    <row r="59" spans="3:8" x14ac:dyDescent="0.2">
      <c r="C59" s="79" t="s">
        <v>392</v>
      </c>
      <c r="D59" s="291"/>
      <c r="E59" s="160"/>
    </row>
    <row r="60" spans="3:8" ht="15" x14ac:dyDescent="0.25">
      <c r="C60" s="67" t="s">
        <v>393</v>
      </c>
      <c r="D60" s="298">
        <v>4.4999999999999998E-2</v>
      </c>
      <c r="E60" s="67" t="s">
        <v>403</v>
      </c>
      <c r="H60" s="299"/>
    </row>
    <row r="61" spans="3:8" x14ac:dyDescent="0.2">
      <c r="C61" s="123" t="s">
        <v>394</v>
      </c>
      <c r="D61" s="298">
        <v>6.5000000000000002E-2</v>
      </c>
      <c r="H61" s="307" t="s">
        <v>386</v>
      </c>
    </row>
    <row r="62" spans="3:8" x14ac:dyDescent="0.2">
      <c r="C62" s="123"/>
      <c r="D62" s="298"/>
      <c r="H62" s="307"/>
    </row>
    <row r="63" spans="3:8" x14ac:dyDescent="0.2">
      <c r="C63" s="79" t="s">
        <v>396</v>
      </c>
      <c r="D63" s="112"/>
    </row>
    <row r="64" spans="3:8" ht="15" x14ac:dyDescent="0.25">
      <c r="C64" s="67" t="s">
        <v>401</v>
      </c>
      <c r="D64" s="298">
        <v>8.5000000000000006E-2</v>
      </c>
      <c r="E64" s="67" t="s">
        <v>404</v>
      </c>
      <c r="H64" s="308" t="s">
        <v>400</v>
      </c>
    </row>
    <row r="65" spans="3:11" ht="15" x14ac:dyDescent="0.25">
      <c r="D65" s="298"/>
      <c r="H65" s="308"/>
    </row>
    <row r="66" spans="3:11" x14ac:dyDescent="0.2">
      <c r="C66" s="79" t="s">
        <v>424</v>
      </c>
      <c r="D66" s="112"/>
    </row>
    <row r="67" spans="3:11" x14ac:dyDescent="0.2">
      <c r="C67" s="67" t="s">
        <v>401</v>
      </c>
      <c r="D67" s="298">
        <v>8.0000000000000002E-3</v>
      </c>
      <c r="E67" s="67" t="s">
        <v>441</v>
      </c>
      <c r="H67" s="307" t="s">
        <v>386</v>
      </c>
    </row>
    <row r="69" spans="3:11" x14ac:dyDescent="0.2">
      <c r="C69" s="79" t="s">
        <v>395</v>
      </c>
      <c r="D69" s="287"/>
    </row>
    <row r="70" spans="3:11" x14ac:dyDescent="0.2">
      <c r="C70" s="292" t="s">
        <v>387</v>
      </c>
      <c r="D70" s="292" t="s">
        <v>164</v>
      </c>
      <c r="E70" s="292" t="s">
        <v>391</v>
      </c>
      <c r="F70" s="292" t="s">
        <v>163</v>
      </c>
    </row>
    <row r="71" spans="3:11" x14ac:dyDescent="0.2">
      <c r="C71" s="288" t="s">
        <v>388</v>
      </c>
      <c r="D71" s="289">
        <v>1.5</v>
      </c>
      <c r="E71" s="216">
        <f>+$D$6</f>
        <v>0.60099999999999998</v>
      </c>
      <c r="F71" s="436">
        <f>+$D$54*(1+(1-E71)*D71)</f>
        <v>1.102965</v>
      </c>
    </row>
    <row r="72" spans="3:11" x14ac:dyDescent="0.2">
      <c r="C72" s="288" t="s">
        <v>389</v>
      </c>
      <c r="D72" s="289">
        <v>2.5</v>
      </c>
      <c r="E72" s="216">
        <f>+$D$6</f>
        <v>0.60099999999999998</v>
      </c>
      <c r="F72" s="436">
        <f>+$D$54*(1+(1-E72)*D72)</f>
        <v>1.3782749999999999</v>
      </c>
    </row>
    <row r="73" spans="3:11" x14ac:dyDescent="0.2">
      <c r="C73" s="288" t="s">
        <v>390</v>
      </c>
      <c r="D73" s="289">
        <v>3</v>
      </c>
      <c r="E73" s="216">
        <f>+$D$6</f>
        <v>0.60099999999999998</v>
      </c>
      <c r="F73" s="436">
        <f t="shared" ref="F73" si="1">+$D$54*(1+(1-E73)*D73)</f>
        <v>1.51593</v>
      </c>
    </row>
    <row r="75" spans="3:11" x14ac:dyDescent="0.2">
      <c r="C75" s="333" t="s">
        <v>298</v>
      </c>
      <c r="D75" s="333" t="s">
        <v>214</v>
      </c>
      <c r="E75" s="333" t="s">
        <v>235</v>
      </c>
      <c r="F75" s="334"/>
      <c r="G75" s="335"/>
      <c r="H75" s="336" t="s">
        <v>216</v>
      </c>
      <c r="I75" s="337"/>
      <c r="J75" s="337"/>
      <c r="K75" s="337"/>
    </row>
    <row r="76" spans="3:11" x14ac:dyDescent="0.2">
      <c r="C76" s="67" t="s">
        <v>257</v>
      </c>
      <c r="D76" s="5">
        <v>307</v>
      </c>
      <c r="E76" s="67" t="s">
        <v>259</v>
      </c>
      <c r="H76" s="114" t="s">
        <v>162</v>
      </c>
    </row>
    <row r="77" spans="3:11" x14ac:dyDescent="0.2">
      <c r="C77" s="2" t="s">
        <v>255</v>
      </c>
      <c r="D77" s="161">
        <v>168.2</v>
      </c>
      <c r="E77" s="67" t="s">
        <v>260</v>
      </c>
      <c r="H77" s="114" t="s">
        <v>162</v>
      </c>
    </row>
    <row r="78" spans="3:11" x14ac:dyDescent="0.2">
      <c r="C78" s="2" t="s">
        <v>258</v>
      </c>
      <c r="D78" s="5">
        <v>120</v>
      </c>
      <c r="E78" s="67" t="s">
        <v>265</v>
      </c>
      <c r="H78" s="114" t="s">
        <v>162</v>
      </c>
    </row>
    <row r="79" spans="3:11" x14ac:dyDescent="0.2">
      <c r="C79" s="2" t="s">
        <v>256</v>
      </c>
      <c r="D79" s="161">
        <v>109.1</v>
      </c>
      <c r="E79" s="67" t="s">
        <v>261</v>
      </c>
      <c r="H79" s="114" t="s">
        <v>162</v>
      </c>
    </row>
    <row r="80" spans="3:11" x14ac:dyDescent="0.2">
      <c r="C80" s="2"/>
      <c r="D80" s="161"/>
      <c r="H80" s="114"/>
    </row>
    <row r="81" spans="3:11" s="79" customFormat="1" x14ac:dyDescent="0.2">
      <c r="C81" s="18" t="s">
        <v>264</v>
      </c>
      <c r="D81" s="149"/>
      <c r="H81" s="150"/>
    </row>
    <row r="82" spans="3:11" s="79" customFormat="1" x14ac:dyDescent="0.2">
      <c r="C82" s="26" t="s">
        <v>238</v>
      </c>
      <c r="D82" s="437">
        <v>2025</v>
      </c>
      <c r="E82" s="113">
        <v>2026</v>
      </c>
      <c r="F82" s="113">
        <v>2027</v>
      </c>
      <c r="G82" s="113">
        <v>2028</v>
      </c>
      <c r="H82" s="113">
        <v>2029</v>
      </c>
      <c r="I82" s="113">
        <v>2030</v>
      </c>
      <c r="J82" s="113">
        <v>2031</v>
      </c>
      <c r="K82" s="113">
        <v>2032</v>
      </c>
    </row>
    <row r="83" spans="3:11" x14ac:dyDescent="0.2">
      <c r="C83" s="67" t="s">
        <v>267</v>
      </c>
      <c r="D83" s="232">
        <f>+D76</f>
        <v>307</v>
      </c>
      <c r="E83" s="438">
        <v>0</v>
      </c>
      <c r="F83" s="22"/>
      <c r="G83" s="438">
        <v>0</v>
      </c>
      <c r="H83" s="438">
        <v>0</v>
      </c>
      <c r="I83" s="438">
        <v>0</v>
      </c>
      <c r="J83" s="438">
        <v>0</v>
      </c>
      <c r="K83" s="438">
        <v>0</v>
      </c>
    </row>
    <row r="84" spans="3:11" x14ac:dyDescent="0.2">
      <c r="C84" s="67" t="s">
        <v>268</v>
      </c>
      <c r="D84" s="232">
        <f>+D77</f>
        <v>168.2</v>
      </c>
      <c r="E84" s="19">
        <v>0</v>
      </c>
      <c r="F84" s="6"/>
      <c r="G84" s="19">
        <v>0</v>
      </c>
      <c r="H84" s="19">
        <v>0</v>
      </c>
      <c r="I84" s="19">
        <v>0</v>
      </c>
      <c r="J84" s="19">
        <v>0</v>
      </c>
      <c r="K84" s="19">
        <v>0</v>
      </c>
    </row>
    <row r="85" spans="3:11" x14ac:dyDescent="0.2">
      <c r="C85" s="67" t="s">
        <v>266</v>
      </c>
      <c r="D85" s="5">
        <v>40</v>
      </c>
      <c r="E85" s="5">
        <v>40</v>
      </c>
      <c r="F85" s="5"/>
      <c r="G85" s="5">
        <v>8</v>
      </c>
      <c r="H85" s="5">
        <v>8</v>
      </c>
      <c r="I85" s="5">
        <v>8</v>
      </c>
      <c r="J85" s="5">
        <v>8</v>
      </c>
      <c r="K85" s="5">
        <v>8</v>
      </c>
    </row>
    <row r="86" spans="3:11" x14ac:dyDescent="0.2">
      <c r="C86" s="67" t="s">
        <v>263</v>
      </c>
      <c r="D86" s="216">
        <f>+D85/$D$78</f>
        <v>0.33333333333333331</v>
      </c>
      <c r="E86" s="216">
        <f>+E85/$D$78</f>
        <v>0.33333333333333331</v>
      </c>
      <c r="F86" s="146"/>
      <c r="G86" s="216">
        <f>+G85/$D$78</f>
        <v>6.6666666666666666E-2</v>
      </c>
      <c r="H86" s="216">
        <f>+H85/$D$78</f>
        <v>6.6666666666666666E-2</v>
      </c>
      <c r="I86" s="216">
        <f>+I85/$D$78</f>
        <v>6.6666666666666666E-2</v>
      </c>
      <c r="J86" s="216">
        <f>+J85/$D$78</f>
        <v>6.6666666666666666E-2</v>
      </c>
      <c r="K86" s="216">
        <f>+K85/$D$78</f>
        <v>6.6666666666666666E-2</v>
      </c>
    </row>
    <row r="87" spans="3:11" x14ac:dyDescent="0.2">
      <c r="C87" s="67" t="s">
        <v>262</v>
      </c>
      <c r="D87" s="203">
        <f>+D86*$D$79</f>
        <v>36.36666666666666</v>
      </c>
      <c r="E87" s="203">
        <f>+E86*$D$79</f>
        <v>36.36666666666666</v>
      </c>
      <c r="F87" s="157"/>
      <c r="G87" s="203">
        <f>+G86*$D$79</f>
        <v>7.2733333333333325</v>
      </c>
      <c r="H87" s="203">
        <f>+H86*$D$79</f>
        <v>7.2733333333333325</v>
      </c>
      <c r="I87" s="203">
        <f>+I86*$D$79</f>
        <v>7.2733333333333325</v>
      </c>
      <c r="J87" s="203">
        <f>+J86*$D$79</f>
        <v>7.2733333333333325</v>
      </c>
      <c r="K87" s="203">
        <f>+K86*$D$79</f>
        <v>7.2733333333333325</v>
      </c>
    </row>
    <row r="88" spans="3:11" x14ac:dyDescent="0.2">
      <c r="C88" s="152" t="s">
        <v>270</v>
      </c>
      <c r="D88" s="439">
        <f t="shared" ref="D88:K88" si="2">+D83+D85</f>
        <v>347</v>
      </c>
      <c r="E88" s="439">
        <f t="shared" si="2"/>
        <v>40</v>
      </c>
      <c r="F88" s="439">
        <f t="shared" si="2"/>
        <v>0</v>
      </c>
      <c r="G88" s="439">
        <f t="shared" si="2"/>
        <v>8</v>
      </c>
      <c r="H88" s="439">
        <f t="shared" si="2"/>
        <v>8</v>
      </c>
      <c r="I88" s="439">
        <f t="shared" si="2"/>
        <v>8</v>
      </c>
      <c r="J88" s="439">
        <f t="shared" si="2"/>
        <v>8</v>
      </c>
      <c r="K88" s="439">
        <f t="shared" si="2"/>
        <v>8</v>
      </c>
    </row>
    <row r="89" spans="3:11" x14ac:dyDescent="0.2">
      <c r="C89" s="151" t="s">
        <v>269</v>
      </c>
      <c r="D89" s="440">
        <f t="shared" ref="D89:K89" si="3">+D83-D84+D85-D87</f>
        <v>142.43333333333334</v>
      </c>
      <c r="E89" s="440">
        <f t="shared" si="3"/>
        <v>3.63333333333334</v>
      </c>
      <c r="F89" s="439">
        <f t="shared" si="3"/>
        <v>0</v>
      </c>
      <c r="G89" s="440">
        <f t="shared" si="3"/>
        <v>0.72666666666666746</v>
      </c>
      <c r="H89" s="440">
        <f t="shared" si="3"/>
        <v>0.72666666666666746</v>
      </c>
      <c r="I89" s="440">
        <f t="shared" si="3"/>
        <v>0.72666666666666746</v>
      </c>
      <c r="J89" s="440">
        <f t="shared" si="3"/>
        <v>0.72666666666666746</v>
      </c>
      <c r="K89" s="440">
        <f t="shared" si="3"/>
        <v>0.72666666666666746</v>
      </c>
    </row>
  </sheetData>
  <hyperlinks>
    <hyperlink ref="H32" r:id="rId1" display="Tullow Oil – 2025 Half Year Results" xr:uid="{BD317ED9-AD07-444A-B673-E6B9AF90321B}"/>
    <hyperlink ref="H34" r:id="rId2" display="Tullow Oil – H1 2025 Results Presentation" xr:uid="{7A55507C-A565-47C4-B268-46F13B545996}"/>
    <hyperlink ref="H35" r:id="rId3" display="Tullow Oil – Ghana Licences MoU" xr:uid="{71F68EBF-E3FA-4FB9-96E2-EFE78A94F703}"/>
    <hyperlink ref="H37" r:id="rId4" display="Tullow Oil – H1 2025 Results Presentation" xr:uid="{5E543286-F3A7-454D-9C64-ACF262446A79}"/>
    <hyperlink ref="H39" r:id="rId5" display="Tullow Oil – 2025 Half Year Results (PDF)" xr:uid="{9EA8A20E-C4F2-47C7-9831-8E333DAAD8ED}"/>
    <hyperlink ref="H40" r:id="rId6" display="Tullow Oil – Ghana Licences MoU" xr:uid="{9B2D862A-AA38-4FB7-88F9-74A6C5E51E0C}"/>
    <hyperlink ref="H31" r:id="rId7" display="Tullow Oil – 2025 Half Year Results" xr:uid="{AF28BE35-B62B-4F3F-88C1-E9C8CBA9A332}"/>
    <hyperlink ref="H33" r:id="rId8" display="Tullow Oil – 2025 Half Year Results" xr:uid="{C55DEFCB-D0AE-4667-A43E-90BBCA4B6003}"/>
    <hyperlink ref="H36" r:id="rId9" display="Tullow Oil – 2025 Half Year Results" xr:uid="{7D230E28-3CFE-4646-A21A-61D9326C8771}"/>
    <hyperlink ref="H38" r:id="rId10" display="Tullow Oil – 2025 Half Year Results" xr:uid="{BE4AFF06-320B-4FB8-BCF2-424E4BB5AA95}"/>
    <hyperlink ref="H76" r:id="rId11" display="Source" xr:uid="{EE55F0F3-3C77-4075-9F27-16690527F650}"/>
    <hyperlink ref="H77" r:id="rId12" display="https://www.tullowoil.com/application/files/8317/5446/3320/Tullow_Oil_Plc_-_2025_HY_Report_-_FINAL.pdf" xr:uid="{E1A3EDB1-0308-472F-B92C-C8857F8948DD}"/>
    <hyperlink ref="H78" r:id="rId13" display="https://www.tullowoil.com/media/press-releases/sale-and-purchase-agreement-strategic-sale-kenya-assets-gulf-energy-ltd/" xr:uid="{7A17B5D7-CC04-471A-BD0A-20190F123D85}"/>
    <hyperlink ref="H79" r:id="rId14" display="https://www.tullowoil.com/application/files/8317/5446/3320/Tullow_Oil_Plc_-_2025_HY_Report_-_FINAL.pdf" xr:uid="{9CF84784-B9EF-4DA7-BBDB-7C5522AE4DE8}"/>
    <hyperlink ref="H6" r:id="rId15" display="https://www.research-tree.com/newsfeed/article/tullow-oil-plc-full-year-results-2780094" xr:uid="{0185D83F-BF0D-4316-8C29-7564DA9EB0AF}"/>
    <hyperlink ref="H12" r:id="rId16" display="https://www.tullowoil.com/application/files/7217/2300/9943/Tullow_Oil_Plc-_2024_HY_Report_.pdf" xr:uid="{227802D1-D958-42A8-B7BE-0DC7DFEB76A2}"/>
    <hyperlink ref="H15" r:id="rId17" display="https://www.tullowoil.com/application/files/7217/2300/9943/Tullow_Oil_Plc-_2024_HY_Report_.pdf" xr:uid="{64926D26-D566-4F57-9E9A-CD79087B57BA}"/>
    <hyperlink ref="H11" r:id="rId18" display="https://www.tullowoil.com/application/files/9516/4811/6186/Tullow_Oil_plc_2021_Annual_Report_and_Account_Index.pdf" xr:uid="{A7E9F428-D622-41EC-83A6-982B8FBB2FFA}"/>
    <hyperlink ref="H10" r:id="rId19" display="https://www.tullowoil.com/application/files/9516/4811/6186/Tullow_Oil_plc_2021_Annual_Report_and_Account_Index.pdf" xr:uid="{1EB0BEC9-F615-40A2-8E3D-AA928BE7F806}"/>
    <hyperlink ref="H46" r:id="rId20" display="DNA ASA" xr:uid="{24FCDBAE-CF58-40F6-9E54-39F953FCBC9A}"/>
    <hyperlink ref="H48" r:id="rId21" display="https://okea.no/wp-content/uploads/2025/09/okea-credit-investor-presentation-june-2025.pdf" xr:uid="{EA928E82-1263-4DA1-9C5F-650E28746974}"/>
    <hyperlink ref="H50" r:id="rId22" display="https://www.energean.com/media/6026/2025-04-17_annual_report.pdf" xr:uid="{16428B43-2959-4086-A608-BA051CF6FB77}"/>
    <hyperlink ref="H54" r:id="rId23" display="https://pages.stern.nyu.edu/~adamodar/pc/datasets/betaEurope.xls" xr:uid="{68DCE739-4D3D-4DA2-9D91-831A1ED4692B}"/>
    <hyperlink ref="H57" r:id="rId24" xr:uid="{C7D4C023-E02D-4398-ABFB-5EBCA2CFFD3B}"/>
    <hyperlink ref="H64" r:id="rId25" location=":~:text=In%20rare%20cases%2C%20company%2Dspecific,from%200%25%20%2D%2010%25." display="https://www.gma-cpa.com/blog/understanding-the-company-specific-risk-premium-a-guide-for-attorneys#:~:text=In%20rare%20cases%2C%20company%2Dspecific,from%200%25%20%2D%2010%25." xr:uid="{198F6146-8236-4A8A-AF99-DD89C22F5C55}"/>
    <hyperlink ref="H61" r:id="rId26" display="https://pages.stern.nyu.edu/~adamodar/pdfiles/eqnotes/valpacket1spr25.pdf?utm_source=chatgpt.com" xr:uid="{45B7F20D-6B4E-4938-BF48-0980D37F8F07}"/>
    <hyperlink ref="H67" r:id="rId27" xr:uid="{C3C99A87-F4BE-45B6-AED5-A3A50DF18C36}"/>
    <hyperlink ref="H43" r:id="rId28" xr:uid="{EE855227-8F4D-4250-A84E-A8AD07B1CE5C}"/>
  </hyperlinks>
  <pageMargins left="0.7" right="0.7" top="0.75" bottom="0.75" header="0.3" footer="0.3"/>
  <pageSetup orientation="portrait" horizontalDpi="4294967292" verticalDpi="1200" r:id="rId29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8278F-7CE3-4715-8B0A-4CAC0EE3AFF3}">
  <sheetPr>
    <tabColor theme="2" tint="-9.9978637043366805E-2"/>
  </sheetPr>
  <dimension ref="C1:R21"/>
  <sheetViews>
    <sheetView showGridLines="0" workbookViewId="0"/>
  </sheetViews>
  <sheetFormatPr defaultColWidth="9.140625" defaultRowHeight="12.75" outlineLevelCol="1" x14ac:dyDescent="0.2"/>
  <cols>
    <col min="1" max="2" width="1.7109375" style="2" customWidth="1"/>
    <col min="3" max="3" width="32.85546875" style="2" bestFit="1" customWidth="1"/>
    <col min="4" max="8" width="9.140625" style="2" hidden="1" customWidth="1" outlineLevel="1"/>
    <col min="9" max="9" width="15.5703125" style="2" customWidth="1" collapsed="1"/>
    <col min="10" max="17" width="15.5703125" style="2" customWidth="1"/>
    <col min="18" max="16384" width="9.140625" style="2"/>
  </cols>
  <sheetData>
    <row r="1" spans="3:17" x14ac:dyDescent="0.2">
      <c r="I1" s="245">
        <v>2024</v>
      </c>
      <c r="J1" s="57">
        <v>2025</v>
      </c>
      <c r="K1" s="57">
        <v>2026</v>
      </c>
      <c r="L1" s="57">
        <v>2027</v>
      </c>
      <c r="M1" s="57">
        <v>2028</v>
      </c>
      <c r="N1" s="57">
        <v>2029</v>
      </c>
      <c r="O1" s="57">
        <v>2030</v>
      </c>
      <c r="P1" s="57">
        <v>2031</v>
      </c>
      <c r="Q1" s="58">
        <v>2032</v>
      </c>
    </row>
    <row r="2" spans="3:17" x14ac:dyDescent="0.2">
      <c r="C2" s="3" t="s">
        <v>217</v>
      </c>
      <c r="D2" s="3"/>
      <c r="E2" s="3"/>
      <c r="F2" s="3"/>
      <c r="G2" s="3"/>
      <c r="H2" s="3"/>
      <c r="I2" s="3"/>
      <c r="J2" s="106"/>
      <c r="K2" s="3"/>
      <c r="L2" s="3"/>
      <c r="M2" s="3"/>
      <c r="N2" s="3"/>
      <c r="O2" s="3"/>
      <c r="P2" s="3"/>
      <c r="Q2" s="3"/>
    </row>
    <row r="3" spans="3:17" ht="5.0999999999999996" customHeight="1" x14ac:dyDescent="0.2">
      <c r="I3" s="107"/>
    </row>
    <row r="4" spans="3:17" x14ac:dyDescent="0.2">
      <c r="C4" s="55" t="str">
        <f>"Revenue Breakout"</f>
        <v>Revenue Breakout</v>
      </c>
      <c r="D4" s="60"/>
      <c r="E4" s="60"/>
      <c r="F4" s="60"/>
      <c r="G4" s="60"/>
      <c r="H4" s="60"/>
      <c r="I4" s="60"/>
      <c r="J4" s="55" t="s">
        <v>329</v>
      </c>
      <c r="K4" s="61"/>
      <c r="L4" s="61"/>
      <c r="M4" s="61"/>
      <c r="N4" s="61"/>
      <c r="O4" s="61"/>
      <c r="P4" s="61"/>
      <c r="Q4" s="61"/>
    </row>
    <row r="5" spans="3:17" x14ac:dyDescent="0.2">
      <c r="C5" s="3" t="s">
        <v>213</v>
      </c>
      <c r="D5" s="140"/>
      <c r="E5" s="140"/>
      <c r="F5" s="140"/>
      <c r="G5" s="140"/>
      <c r="H5" s="140"/>
      <c r="I5" s="141"/>
      <c r="J5" s="452">
        <f t="shared" ref="J5:Q5" si="0">J15*J18/1000000</f>
        <v>1145.7349999999999</v>
      </c>
      <c r="K5" s="453">
        <f t="shared" si="0"/>
        <v>996.45</v>
      </c>
      <c r="L5" s="453">
        <f t="shared" si="0"/>
        <v>1003.64415</v>
      </c>
      <c r="M5" s="453">
        <f t="shared" si="0"/>
        <v>986.08400000000017</v>
      </c>
      <c r="N5" s="453">
        <f t="shared" si="0"/>
        <v>967.85955000000013</v>
      </c>
      <c r="O5" s="453">
        <f t="shared" si="0"/>
        <v>948.97080000000017</v>
      </c>
      <c r="P5" s="453">
        <f t="shared" si="0"/>
        <v>917.82900000000029</v>
      </c>
      <c r="Q5" s="453">
        <f t="shared" si="0"/>
        <v>885.76739999999995</v>
      </c>
    </row>
    <row r="6" spans="3:17" x14ac:dyDescent="0.2">
      <c r="C6" s="18"/>
      <c r="D6" s="18"/>
      <c r="E6" s="18"/>
      <c r="F6" s="18"/>
      <c r="G6" s="18"/>
      <c r="H6" s="18"/>
      <c r="I6" s="63"/>
      <c r="J6" s="312"/>
      <c r="K6" s="63"/>
      <c r="L6" s="63"/>
      <c r="M6" s="63"/>
      <c r="N6" s="63"/>
      <c r="O6" s="63"/>
      <c r="P6" s="63"/>
      <c r="Q6" s="63"/>
    </row>
    <row r="7" spans="3:17" x14ac:dyDescent="0.2">
      <c r="C7" s="3" t="s">
        <v>225</v>
      </c>
      <c r="D7" s="3"/>
      <c r="E7" s="3"/>
      <c r="F7" s="3"/>
      <c r="G7" s="3"/>
      <c r="H7" s="3"/>
      <c r="I7" s="26"/>
      <c r="J7" s="139"/>
      <c r="K7" s="26"/>
      <c r="L7" s="26"/>
      <c r="M7" s="26"/>
      <c r="N7" s="26"/>
      <c r="O7" s="26"/>
      <c r="P7" s="26"/>
      <c r="Q7" s="26"/>
    </row>
    <row r="8" spans="3:17" x14ac:dyDescent="0.2">
      <c r="C8" s="2" t="s">
        <v>218</v>
      </c>
      <c r="I8" s="108"/>
      <c r="J8" s="130" cm="1">
        <f t="array" ref="J8:Q8">+TRANSPOSE('Forecast Assumptions'!D31:D38)</f>
        <v>37000</v>
      </c>
      <c r="K8" s="315">
        <v>39000</v>
      </c>
      <c r="L8" s="315">
        <v>38500</v>
      </c>
      <c r="M8" s="315">
        <v>37000</v>
      </c>
      <c r="N8" s="315">
        <v>35500</v>
      </c>
      <c r="O8" s="315">
        <v>34000</v>
      </c>
      <c r="P8" s="315">
        <v>32000</v>
      </c>
      <c r="Q8" s="315">
        <v>30000</v>
      </c>
    </row>
    <row r="9" spans="3:17" x14ac:dyDescent="0.2">
      <c r="C9" s="2" t="s">
        <v>219</v>
      </c>
      <c r="I9" s="108"/>
      <c r="J9" s="130" cm="1">
        <f t="array" ref="J9:Q9">+TRANSPOSE('Forecast Assumptions'!E31:E38)</f>
        <v>6000</v>
      </c>
      <c r="K9" s="315">
        <v>6500</v>
      </c>
      <c r="L9" s="315">
        <v>6800</v>
      </c>
      <c r="M9" s="315">
        <v>7000</v>
      </c>
      <c r="N9" s="315">
        <v>7200</v>
      </c>
      <c r="O9" s="315">
        <v>7400</v>
      </c>
      <c r="P9" s="315">
        <v>7600</v>
      </c>
      <c r="Q9" s="315">
        <v>7800</v>
      </c>
    </row>
    <row r="10" spans="3:17" x14ac:dyDescent="0.2">
      <c r="C10" s="109" t="s">
        <v>220</v>
      </c>
      <c r="D10" s="109"/>
      <c r="E10" s="109"/>
      <c r="F10" s="109"/>
      <c r="G10" s="109"/>
      <c r="H10" s="109"/>
      <c r="I10" s="110"/>
      <c r="J10" s="224">
        <f t="shared" ref="J10:Q10" si="1">SUM(J8:J9)</f>
        <v>43000</v>
      </c>
      <c r="K10" s="225">
        <f t="shared" si="1"/>
        <v>45500</v>
      </c>
      <c r="L10" s="225">
        <f t="shared" si="1"/>
        <v>45300</v>
      </c>
      <c r="M10" s="225">
        <f t="shared" si="1"/>
        <v>44000</v>
      </c>
      <c r="N10" s="225">
        <f t="shared" si="1"/>
        <v>42700</v>
      </c>
      <c r="O10" s="225">
        <f t="shared" si="1"/>
        <v>41400</v>
      </c>
      <c r="P10" s="225">
        <f t="shared" si="1"/>
        <v>39600</v>
      </c>
      <c r="Q10" s="225">
        <f t="shared" si="1"/>
        <v>37800</v>
      </c>
    </row>
    <row r="11" spans="3:17" x14ac:dyDescent="0.2">
      <c r="J11" s="59"/>
    </row>
    <row r="12" spans="3:17" x14ac:dyDescent="0.2">
      <c r="C12" s="3" t="s">
        <v>224</v>
      </c>
      <c r="D12" s="3"/>
      <c r="E12" s="3"/>
      <c r="F12" s="3"/>
      <c r="G12" s="3"/>
      <c r="H12" s="3"/>
      <c r="I12" s="26"/>
      <c r="J12" s="139"/>
      <c r="K12" s="26"/>
      <c r="L12" s="26"/>
      <c r="M12" s="26"/>
      <c r="N12" s="26"/>
      <c r="O12" s="26"/>
      <c r="P12" s="26"/>
      <c r="Q12" s="26"/>
    </row>
    <row r="13" spans="3:17" x14ac:dyDescent="0.2">
      <c r="C13" s="2" t="s">
        <v>218</v>
      </c>
      <c r="I13" s="108"/>
      <c r="J13" s="226">
        <f t="shared" ref="J13:Q14" si="2">+J8*365</f>
        <v>13505000</v>
      </c>
      <c r="K13" s="227">
        <f t="shared" ref="K13:Q13" si="3">+K8*365</f>
        <v>14235000</v>
      </c>
      <c r="L13" s="227">
        <f t="shared" si="3"/>
        <v>14052500</v>
      </c>
      <c r="M13" s="227">
        <f t="shared" si="3"/>
        <v>13505000</v>
      </c>
      <c r="N13" s="227">
        <f t="shared" si="3"/>
        <v>12957500</v>
      </c>
      <c r="O13" s="227">
        <f t="shared" si="3"/>
        <v>12410000</v>
      </c>
      <c r="P13" s="227">
        <f t="shared" si="3"/>
        <v>11680000</v>
      </c>
      <c r="Q13" s="227">
        <f t="shared" si="3"/>
        <v>10950000</v>
      </c>
    </row>
    <row r="14" spans="3:17" x14ac:dyDescent="0.2">
      <c r="C14" s="2" t="s">
        <v>219</v>
      </c>
      <c r="I14" s="108"/>
      <c r="J14" s="226">
        <f t="shared" si="2"/>
        <v>2190000</v>
      </c>
      <c r="K14" s="227">
        <f t="shared" si="2"/>
        <v>2372500</v>
      </c>
      <c r="L14" s="227">
        <f t="shared" si="2"/>
        <v>2482000</v>
      </c>
      <c r="M14" s="227">
        <f t="shared" si="2"/>
        <v>2555000</v>
      </c>
      <c r="N14" s="227">
        <f t="shared" si="2"/>
        <v>2628000</v>
      </c>
      <c r="O14" s="227">
        <f t="shared" si="2"/>
        <v>2701000</v>
      </c>
      <c r="P14" s="227">
        <f t="shared" si="2"/>
        <v>2774000</v>
      </c>
      <c r="Q14" s="227">
        <f t="shared" si="2"/>
        <v>2847000</v>
      </c>
    </row>
    <row r="15" spans="3:17" x14ac:dyDescent="0.2">
      <c r="C15" s="109" t="s">
        <v>220</v>
      </c>
      <c r="D15" s="109"/>
      <c r="E15" s="109"/>
      <c r="F15" s="109"/>
      <c r="G15" s="109"/>
      <c r="H15" s="109"/>
      <c r="I15" s="110"/>
      <c r="J15" s="224">
        <f t="shared" ref="J15:Q15" si="4">SUM(J13:J14)</f>
        <v>15695000</v>
      </c>
      <c r="K15" s="225">
        <f t="shared" si="4"/>
        <v>16607500</v>
      </c>
      <c r="L15" s="225">
        <f t="shared" si="4"/>
        <v>16534500</v>
      </c>
      <c r="M15" s="225">
        <f t="shared" si="4"/>
        <v>16060000</v>
      </c>
      <c r="N15" s="225">
        <f t="shared" si="4"/>
        <v>15585500</v>
      </c>
      <c r="O15" s="225">
        <f t="shared" si="4"/>
        <v>15111000</v>
      </c>
      <c r="P15" s="225">
        <f t="shared" si="4"/>
        <v>14454000</v>
      </c>
      <c r="Q15" s="225">
        <f t="shared" si="4"/>
        <v>13797000</v>
      </c>
    </row>
    <row r="16" spans="3:17" x14ac:dyDescent="0.2">
      <c r="I16" s="13"/>
    </row>
    <row r="17" spans="3:18" x14ac:dyDescent="0.2">
      <c r="C17" s="143" t="s">
        <v>170</v>
      </c>
      <c r="D17" s="172"/>
      <c r="E17" s="143"/>
      <c r="F17" s="143"/>
      <c r="G17" s="143"/>
      <c r="H17" s="143"/>
      <c r="I17" s="26"/>
      <c r="J17" s="139"/>
      <c r="K17" s="26"/>
      <c r="L17" s="26"/>
      <c r="M17" s="26"/>
      <c r="N17" s="26"/>
      <c r="O17" s="26"/>
      <c r="P17" s="101"/>
      <c r="Q17" s="26"/>
    </row>
    <row r="18" spans="3:18" x14ac:dyDescent="0.2">
      <c r="C18" s="2" t="s">
        <v>221</v>
      </c>
      <c r="D18" s="21"/>
      <c r="I18" s="126">
        <v>76.63</v>
      </c>
      <c r="J18" s="142">
        <f>'Forecast Assumptions'!D23</f>
        <v>73</v>
      </c>
      <c r="K18" s="128">
        <f>'Forecast Assumptions'!E23</f>
        <v>60</v>
      </c>
      <c r="L18" s="228">
        <v>60.7</v>
      </c>
      <c r="M18" s="228">
        <v>61.400000000000006</v>
      </c>
      <c r="N18" s="228">
        <v>62.100000000000009</v>
      </c>
      <c r="O18" s="228">
        <v>62.800000000000011</v>
      </c>
      <c r="P18" s="228">
        <v>63.500000000000014</v>
      </c>
      <c r="Q18" s="128">
        <f>'Forecast Assumptions'!F24</f>
        <v>64.2</v>
      </c>
      <c r="R18" s="313"/>
    </row>
    <row r="19" spans="3:18" x14ac:dyDescent="0.2">
      <c r="C19" s="26" t="s">
        <v>222</v>
      </c>
      <c r="D19" s="26"/>
      <c r="E19" s="26"/>
      <c r="F19" s="26"/>
      <c r="G19" s="26"/>
      <c r="H19" s="26"/>
      <c r="I19" s="127">
        <v>2.39</v>
      </c>
      <c r="J19" s="129">
        <f>'Forecast Assumptions'!D28</f>
        <v>3.8</v>
      </c>
      <c r="K19" s="129">
        <f>'Forecast Assumptions'!E28</f>
        <v>4</v>
      </c>
      <c r="L19" s="314">
        <v>4.0333333333333332</v>
      </c>
      <c r="M19" s="314">
        <v>4.0666666666666664</v>
      </c>
      <c r="N19" s="314">
        <v>4.0999999999999996</v>
      </c>
      <c r="O19" s="314">
        <v>4.1333333333333329</v>
      </c>
      <c r="P19" s="314">
        <v>4.1666666666666661</v>
      </c>
      <c r="Q19" s="129">
        <f>+'Forecast Assumptions'!F28</f>
        <v>4.2</v>
      </c>
    </row>
    <row r="21" spans="3:18" x14ac:dyDescent="0.2">
      <c r="L21" s="96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D3FFF-0192-4719-8ECA-D0A42352523A}">
  <sheetPr>
    <tabColor theme="2" tint="-9.9978637043366805E-2"/>
  </sheetPr>
  <dimension ref="B2:L124"/>
  <sheetViews>
    <sheetView showGridLines="0" workbookViewId="0"/>
  </sheetViews>
  <sheetFormatPr defaultColWidth="8.7109375" defaultRowHeight="12.75" x14ac:dyDescent="0.2"/>
  <cols>
    <col min="1" max="2" width="1.5703125" style="67" customWidth="1"/>
    <col min="3" max="6" width="21.28515625" style="67" customWidth="1"/>
    <col min="7" max="7" width="1.5703125" style="67" customWidth="1"/>
    <col min="8" max="8" width="21.28515625" style="67" customWidth="1"/>
    <col min="9" max="9" width="21.28515625" style="77" customWidth="1"/>
    <col min="10" max="12" width="21.28515625" style="67" customWidth="1"/>
    <col min="13" max="16384" width="8.7109375" style="67"/>
  </cols>
  <sheetData>
    <row r="2" spans="2:12" x14ac:dyDescent="0.2">
      <c r="C2" s="167" t="s">
        <v>328</v>
      </c>
      <c r="D2" s="167"/>
      <c r="E2" s="167"/>
      <c r="F2" s="167"/>
      <c r="G2" s="167"/>
      <c r="H2" s="167"/>
      <c r="I2" s="168"/>
      <c r="J2" s="167"/>
      <c r="K2" s="167"/>
      <c r="L2" s="167"/>
    </row>
    <row r="3" spans="2:12" ht="5.0999999999999996" customHeight="1" x14ac:dyDescent="0.2">
      <c r="B3" s="67" t="s">
        <v>274</v>
      </c>
      <c r="I3" s="67"/>
    </row>
    <row r="4" spans="2:12" x14ac:dyDescent="0.2">
      <c r="C4" s="64" t="s">
        <v>319</v>
      </c>
      <c r="D4" s="65" t="s">
        <v>320</v>
      </c>
      <c r="E4" s="65" t="s">
        <v>321</v>
      </c>
      <c r="F4" s="169" t="s">
        <v>322</v>
      </c>
      <c r="H4" s="64" t="s">
        <v>238</v>
      </c>
      <c r="I4" s="65" t="s">
        <v>319</v>
      </c>
      <c r="J4" s="65" t="s">
        <v>320</v>
      </c>
      <c r="K4" s="70" t="s">
        <v>321</v>
      </c>
      <c r="L4" s="66" t="s">
        <v>322</v>
      </c>
    </row>
    <row r="5" spans="2:12" x14ac:dyDescent="0.2">
      <c r="C5" s="229">
        <v>45939</v>
      </c>
      <c r="D5" s="171">
        <v>4.0500000000000001E-2</v>
      </c>
      <c r="E5" s="171">
        <v>3.9100000000000003E-2</v>
      </c>
      <c r="F5" s="171">
        <v>4.36E-2</v>
      </c>
      <c r="H5" s="113">
        <v>2025</v>
      </c>
      <c r="I5" s="230" cm="1">
        <f t="array" ref="I5">MAX(_xlfn._xlws.FILTER(C5:C124,YEAR(C5:C124)=$H5))</f>
        <v>46000</v>
      </c>
      <c r="J5" s="231">
        <f t="shared" ref="J5:J15" si="0">_xlfn.XLOOKUP($I5,$C:$C,D:D)</f>
        <v>3.7600000000000001E-2</v>
      </c>
      <c r="K5" s="231">
        <f t="shared" ref="K5:K15" si="1">_xlfn.XLOOKUP($I5,$C:$C,E:E)</f>
        <v>3.6900000000000002E-2</v>
      </c>
      <c r="L5" s="231">
        <f t="shared" ref="L5:L15" si="2">_xlfn.XLOOKUP($I5,$C:$C,F:F)</f>
        <v>3.9800000000000002E-2</v>
      </c>
    </row>
    <row r="6" spans="2:12" x14ac:dyDescent="0.2">
      <c r="C6" s="229">
        <v>45971</v>
      </c>
      <c r="D6" s="171">
        <v>3.9E-2</v>
      </c>
      <c r="E6" s="171">
        <v>3.78E-2</v>
      </c>
      <c r="F6" s="171">
        <v>3.9800000000000002E-2</v>
      </c>
      <c r="H6" s="232">
        <f t="shared" ref="H6:H15" si="3">H5+1</f>
        <v>2026</v>
      </c>
      <c r="I6" s="230" cm="1">
        <f t="array" ref="I6">MAX(_xlfn._xlws.FILTER(C6:C125,YEAR(C6:C125)=$H6))</f>
        <v>46365</v>
      </c>
      <c r="J6" s="231">
        <f t="shared" si="0"/>
        <v>3.09E-2</v>
      </c>
      <c r="K6" s="231">
        <f t="shared" si="1"/>
        <v>3.09E-2</v>
      </c>
      <c r="L6" s="231">
        <f t="shared" si="2"/>
        <v>3.1899999999999998E-2</v>
      </c>
    </row>
    <row r="7" spans="2:12" x14ac:dyDescent="0.2">
      <c r="C7" s="229">
        <v>46000</v>
      </c>
      <c r="D7" s="171">
        <v>3.7600000000000001E-2</v>
      </c>
      <c r="E7" s="171">
        <v>3.6900000000000002E-2</v>
      </c>
      <c r="F7" s="171">
        <v>3.9800000000000002E-2</v>
      </c>
      <c r="H7" s="232">
        <f t="shared" si="3"/>
        <v>2027</v>
      </c>
      <c r="I7" s="230" cm="1">
        <f t="array" ref="I7">MAX(_xlfn._xlws.FILTER(C7:C126,YEAR(C7:C126)=$H7))</f>
        <v>46730</v>
      </c>
      <c r="J7" s="231">
        <f t="shared" si="0"/>
        <v>3.2099999999999997E-2</v>
      </c>
      <c r="K7" s="231">
        <f t="shared" si="1"/>
        <v>3.2099999999999997E-2</v>
      </c>
      <c r="L7" s="231">
        <f t="shared" si="2"/>
        <v>3.32E-2</v>
      </c>
    </row>
    <row r="8" spans="2:12" x14ac:dyDescent="0.2">
      <c r="C8" s="229">
        <v>46031</v>
      </c>
      <c r="D8" s="171">
        <v>3.6499999999999998E-2</v>
      </c>
      <c r="E8" s="171">
        <v>3.61E-2</v>
      </c>
      <c r="F8" s="171">
        <v>3.78E-2</v>
      </c>
      <c r="H8" s="232">
        <f t="shared" si="3"/>
        <v>2028</v>
      </c>
      <c r="I8" s="230" cm="1">
        <f t="array" ref="I8">MAX(_xlfn._xlws.FILTER(C8:C127,YEAR(C8:C127)=$H8))</f>
        <v>47098</v>
      </c>
      <c r="J8" s="231">
        <f t="shared" si="0"/>
        <v>3.3500000000000002E-2</v>
      </c>
      <c r="K8" s="231">
        <f t="shared" si="1"/>
        <v>3.3500000000000002E-2</v>
      </c>
      <c r="L8" s="231">
        <f t="shared" si="2"/>
        <v>3.4700000000000002E-2</v>
      </c>
    </row>
    <row r="9" spans="2:12" x14ac:dyDescent="0.2">
      <c r="C9" s="229">
        <v>46062</v>
      </c>
      <c r="D9" s="171">
        <v>3.6200000000000003E-2</v>
      </c>
      <c r="E9" s="171">
        <v>3.5400000000000001E-2</v>
      </c>
      <c r="F9" s="171">
        <v>3.7699999999999997E-2</v>
      </c>
      <c r="H9" s="232">
        <f t="shared" si="3"/>
        <v>2029</v>
      </c>
      <c r="I9" s="230" cm="1">
        <f t="array" ref="I9">MAX(_xlfn._xlws.FILTER(C9:C128,YEAR(C9:C128)=$H9))</f>
        <v>47462</v>
      </c>
      <c r="J9" s="231">
        <f t="shared" si="0"/>
        <v>3.49E-2</v>
      </c>
      <c r="K9" s="231">
        <f t="shared" si="1"/>
        <v>3.49E-2</v>
      </c>
      <c r="L9" s="231">
        <f t="shared" si="2"/>
        <v>3.61E-2</v>
      </c>
    </row>
    <row r="10" spans="2:12" x14ac:dyDescent="0.2">
      <c r="C10" s="229">
        <v>46090</v>
      </c>
      <c r="D10" s="171">
        <v>3.5299999999999998E-2</v>
      </c>
      <c r="E10" s="171">
        <v>3.49E-2</v>
      </c>
      <c r="F10" s="171">
        <v>3.7699999999999997E-2</v>
      </c>
      <c r="H10" s="232">
        <f t="shared" si="3"/>
        <v>2030</v>
      </c>
      <c r="I10" s="230" cm="1">
        <f t="array" ref="I10">MAX(_xlfn._xlws.FILTER(C10:C129,YEAR(C10:C129)=$H10))</f>
        <v>47826</v>
      </c>
      <c r="J10" s="231">
        <f t="shared" si="0"/>
        <v>3.6600000000000001E-2</v>
      </c>
      <c r="K10" s="231">
        <f t="shared" si="1"/>
        <v>3.6600000000000001E-2</v>
      </c>
      <c r="L10" s="231">
        <f t="shared" si="2"/>
        <v>3.78E-2</v>
      </c>
    </row>
    <row r="11" spans="2:12" x14ac:dyDescent="0.2">
      <c r="C11" s="229">
        <v>46121</v>
      </c>
      <c r="D11" s="171">
        <v>3.4799999999999998E-2</v>
      </c>
      <c r="E11" s="171">
        <v>3.4299999999999997E-2</v>
      </c>
      <c r="F11" s="171">
        <v>3.5700000000000003E-2</v>
      </c>
      <c r="H11" s="232">
        <f t="shared" si="3"/>
        <v>2031</v>
      </c>
      <c r="I11" s="230" cm="1">
        <f t="array" ref="I11">MAX(_xlfn._xlws.FILTER(C11:C130,YEAR(C11:C130)=$H11))</f>
        <v>48191</v>
      </c>
      <c r="J11" s="231">
        <f t="shared" si="0"/>
        <v>3.8100000000000002E-2</v>
      </c>
      <c r="K11" s="231">
        <f t="shared" si="1"/>
        <v>3.8100000000000002E-2</v>
      </c>
      <c r="L11" s="231">
        <f t="shared" si="2"/>
        <v>3.9199999999999999E-2</v>
      </c>
    </row>
    <row r="12" spans="2:12" x14ac:dyDescent="0.2">
      <c r="C12" s="229">
        <v>46153</v>
      </c>
      <c r="D12" s="171">
        <v>3.4500000000000003E-2</v>
      </c>
      <c r="E12" s="171">
        <v>3.3599999999999998E-2</v>
      </c>
      <c r="F12" s="171">
        <v>3.56E-2</v>
      </c>
      <c r="H12" s="232">
        <f t="shared" si="3"/>
        <v>2032</v>
      </c>
      <c r="I12" s="230" cm="1">
        <f t="array" ref="I12">MAX(_xlfn._xlws.FILTER(C12:C131,YEAR(C12:C131)=$H12))</f>
        <v>48557</v>
      </c>
      <c r="J12" s="231">
        <f t="shared" si="0"/>
        <v>3.9399999999999998E-2</v>
      </c>
      <c r="K12" s="231">
        <f t="shared" si="1"/>
        <v>3.9399999999999998E-2</v>
      </c>
      <c r="L12" s="231">
        <f t="shared" si="2"/>
        <v>4.0599999999999997E-2</v>
      </c>
    </row>
    <row r="13" spans="2:12" x14ac:dyDescent="0.2">
      <c r="C13" s="229">
        <v>46182</v>
      </c>
      <c r="D13" s="171">
        <v>3.3500000000000002E-2</v>
      </c>
      <c r="E13" s="171">
        <v>3.2899999999999999E-2</v>
      </c>
      <c r="F13" s="171">
        <v>3.56E-2</v>
      </c>
      <c r="H13" s="232">
        <f t="shared" si="3"/>
        <v>2033</v>
      </c>
      <c r="I13" s="230" cm="1">
        <f t="array" ref="I13">MAX(_xlfn._xlws.FILTER(C13:C132,YEAR(C13:C132)=$H13))</f>
        <v>48922</v>
      </c>
      <c r="J13" s="231">
        <f t="shared" si="0"/>
        <v>4.07E-2</v>
      </c>
      <c r="K13" s="231">
        <f t="shared" si="1"/>
        <v>4.0599999999999997E-2</v>
      </c>
      <c r="L13" s="231">
        <f t="shared" si="2"/>
        <v>4.1799999999999997E-2</v>
      </c>
    </row>
    <row r="14" spans="2:12" x14ac:dyDescent="0.2">
      <c r="C14" s="229">
        <v>46212</v>
      </c>
      <c r="D14" s="171">
        <v>3.2800000000000003E-2</v>
      </c>
      <c r="E14" s="171">
        <v>3.2399999999999998E-2</v>
      </c>
      <c r="F14" s="171">
        <v>3.3000000000000002E-2</v>
      </c>
      <c r="H14" s="232">
        <f t="shared" si="3"/>
        <v>2034</v>
      </c>
      <c r="I14" s="230" cm="1">
        <f t="array" ref="I14">MAX(_xlfn._xlws.FILTER(C14:C133,YEAR(C14:C133)=$H14))</f>
        <v>49289</v>
      </c>
      <c r="J14" s="231">
        <f t="shared" si="0"/>
        <v>4.19E-2</v>
      </c>
      <c r="K14" s="231">
        <f t="shared" si="1"/>
        <v>4.19E-2</v>
      </c>
      <c r="L14" s="231">
        <f t="shared" si="2"/>
        <v>4.3099999999999999E-2</v>
      </c>
    </row>
    <row r="15" spans="2:12" x14ac:dyDescent="0.2">
      <c r="C15" s="229">
        <v>46244</v>
      </c>
      <c r="D15" s="171">
        <v>3.2399999999999998E-2</v>
      </c>
      <c r="E15" s="171">
        <v>3.1699999999999999E-2</v>
      </c>
      <c r="F15" s="171">
        <v>3.2899999999999999E-2</v>
      </c>
      <c r="H15" s="232">
        <f t="shared" si="3"/>
        <v>2035</v>
      </c>
      <c r="I15" s="230" cm="1">
        <f t="array" ref="I15">MAX(_xlfn._xlws.FILTER(C15:C134,YEAR(C15:C134)=$H15))</f>
        <v>49562</v>
      </c>
      <c r="J15" s="231">
        <f t="shared" si="0"/>
        <v>4.19E-2</v>
      </c>
      <c r="K15" s="231">
        <f t="shared" si="1"/>
        <v>4.2799999999999998E-2</v>
      </c>
      <c r="L15" s="231">
        <f t="shared" si="2"/>
        <v>4.3099999999999999E-2</v>
      </c>
    </row>
    <row r="16" spans="2:12" x14ac:dyDescent="0.2">
      <c r="C16" s="229">
        <v>46274</v>
      </c>
      <c r="D16" s="171">
        <v>3.1800000000000002E-2</v>
      </c>
      <c r="E16" s="171">
        <v>3.1300000000000001E-2</v>
      </c>
      <c r="F16" s="171">
        <v>3.2899999999999999E-2</v>
      </c>
      <c r="J16" s="170"/>
      <c r="K16" s="170"/>
      <c r="L16" s="170"/>
    </row>
    <row r="17" spans="3:6" x14ac:dyDescent="0.2">
      <c r="C17" s="229">
        <v>46304</v>
      </c>
      <c r="D17" s="171">
        <v>3.09E-2</v>
      </c>
      <c r="E17" s="171">
        <v>3.1E-2</v>
      </c>
      <c r="F17" s="171">
        <v>3.1899999999999998E-2</v>
      </c>
    </row>
    <row r="18" spans="3:6" x14ac:dyDescent="0.2">
      <c r="C18" s="229">
        <v>46335</v>
      </c>
      <c r="D18" s="171">
        <v>3.09E-2</v>
      </c>
      <c r="E18" s="171">
        <v>3.09E-2</v>
      </c>
      <c r="F18" s="171">
        <v>3.1899999999999998E-2</v>
      </c>
    </row>
    <row r="19" spans="3:6" x14ac:dyDescent="0.2">
      <c r="C19" s="229">
        <v>46365</v>
      </c>
      <c r="D19" s="171">
        <v>3.09E-2</v>
      </c>
      <c r="E19" s="171">
        <v>3.09E-2</v>
      </c>
      <c r="F19" s="171">
        <v>3.1899999999999998E-2</v>
      </c>
    </row>
    <row r="20" spans="3:6" x14ac:dyDescent="0.2">
      <c r="C20" s="229">
        <v>46398</v>
      </c>
      <c r="D20" s="171">
        <v>3.09E-2</v>
      </c>
      <c r="E20" s="171">
        <v>3.1E-2</v>
      </c>
      <c r="F20" s="171">
        <v>3.1899999999999998E-2</v>
      </c>
    </row>
    <row r="21" spans="3:6" x14ac:dyDescent="0.2">
      <c r="C21" s="229">
        <v>46427</v>
      </c>
      <c r="D21" s="171">
        <v>3.09E-2</v>
      </c>
      <c r="E21" s="171">
        <v>3.09E-2</v>
      </c>
      <c r="F21" s="171">
        <v>3.1899999999999998E-2</v>
      </c>
    </row>
    <row r="22" spans="3:6" x14ac:dyDescent="0.2">
      <c r="C22" s="229">
        <v>46455</v>
      </c>
      <c r="D22" s="171">
        <v>3.09E-2</v>
      </c>
      <c r="E22" s="171">
        <v>3.09E-2</v>
      </c>
      <c r="F22" s="171">
        <v>3.1899999999999998E-2</v>
      </c>
    </row>
    <row r="23" spans="3:6" x14ac:dyDescent="0.2">
      <c r="C23" s="229">
        <v>46486</v>
      </c>
      <c r="D23" s="171">
        <v>3.09E-2</v>
      </c>
      <c r="E23" s="171">
        <v>3.1E-2</v>
      </c>
      <c r="F23" s="171">
        <v>3.2300000000000002E-2</v>
      </c>
    </row>
    <row r="24" spans="3:6" x14ac:dyDescent="0.2">
      <c r="C24" s="229">
        <v>46517</v>
      </c>
      <c r="D24" s="171">
        <v>3.09E-2</v>
      </c>
      <c r="E24" s="171">
        <v>3.09E-2</v>
      </c>
      <c r="F24" s="171">
        <v>3.2300000000000002E-2</v>
      </c>
    </row>
    <row r="25" spans="3:6" x14ac:dyDescent="0.2">
      <c r="C25" s="229">
        <v>46547</v>
      </c>
      <c r="D25" s="171">
        <v>3.09E-2</v>
      </c>
      <c r="E25" s="171">
        <v>3.09E-2</v>
      </c>
      <c r="F25" s="171">
        <v>3.2300000000000002E-2</v>
      </c>
    </row>
    <row r="26" spans="3:6" x14ac:dyDescent="0.2">
      <c r="C26" s="229">
        <v>46577</v>
      </c>
      <c r="D26" s="171">
        <v>3.09E-2</v>
      </c>
      <c r="E26" s="171">
        <v>3.1E-2</v>
      </c>
      <c r="F26" s="171">
        <v>3.2300000000000002E-2</v>
      </c>
    </row>
    <row r="27" spans="3:6" x14ac:dyDescent="0.2">
      <c r="C27" s="229">
        <v>46608</v>
      </c>
      <c r="D27" s="171">
        <v>3.09E-2</v>
      </c>
      <c r="E27" s="171">
        <v>3.1199999999999999E-2</v>
      </c>
      <c r="F27" s="171">
        <v>3.2300000000000002E-2</v>
      </c>
    </row>
    <row r="28" spans="3:6" x14ac:dyDescent="0.2">
      <c r="C28" s="229">
        <v>46639</v>
      </c>
      <c r="D28" s="171">
        <v>3.09E-2</v>
      </c>
      <c r="E28" s="171">
        <v>3.1600000000000003E-2</v>
      </c>
      <c r="F28" s="171">
        <v>3.2300000000000002E-2</v>
      </c>
    </row>
    <row r="29" spans="3:6" x14ac:dyDescent="0.2">
      <c r="C29" s="229">
        <v>46672</v>
      </c>
      <c r="D29" s="171">
        <v>3.2000000000000001E-2</v>
      </c>
      <c r="E29" s="171">
        <v>3.2099999999999997E-2</v>
      </c>
      <c r="F29" s="171">
        <v>3.32E-2</v>
      </c>
    </row>
    <row r="30" spans="3:6" x14ac:dyDescent="0.2">
      <c r="C30" s="229">
        <v>46700</v>
      </c>
      <c r="D30" s="171">
        <v>3.2099999999999997E-2</v>
      </c>
      <c r="E30" s="171">
        <v>3.2099999999999997E-2</v>
      </c>
      <c r="F30" s="171">
        <v>3.32E-2</v>
      </c>
    </row>
    <row r="31" spans="3:6" x14ac:dyDescent="0.2">
      <c r="C31" s="229">
        <v>46730</v>
      </c>
      <c r="D31" s="171">
        <v>3.2099999999999997E-2</v>
      </c>
      <c r="E31" s="171">
        <v>3.2099999999999997E-2</v>
      </c>
      <c r="F31" s="171">
        <v>3.32E-2</v>
      </c>
    </row>
    <row r="32" spans="3:6" x14ac:dyDescent="0.2">
      <c r="C32" s="229">
        <v>46762</v>
      </c>
      <c r="D32" s="171">
        <v>3.2099999999999997E-2</v>
      </c>
      <c r="E32" s="171">
        <v>3.2199999999999999E-2</v>
      </c>
      <c r="F32" s="171">
        <v>3.32E-2</v>
      </c>
    </row>
    <row r="33" spans="3:6" x14ac:dyDescent="0.2">
      <c r="C33" s="229">
        <v>46792</v>
      </c>
      <c r="D33" s="171">
        <v>3.2099999999999997E-2</v>
      </c>
      <c r="E33" s="171">
        <v>3.2099999999999997E-2</v>
      </c>
      <c r="F33" s="171">
        <v>3.32E-2</v>
      </c>
    </row>
    <row r="34" spans="3:6" x14ac:dyDescent="0.2">
      <c r="C34" s="229">
        <v>46821</v>
      </c>
      <c r="D34" s="171">
        <v>3.2099999999999997E-2</v>
      </c>
      <c r="E34" s="171">
        <v>3.2099999999999997E-2</v>
      </c>
      <c r="F34" s="171">
        <v>3.32E-2</v>
      </c>
    </row>
    <row r="35" spans="3:6" x14ac:dyDescent="0.2">
      <c r="C35" s="229">
        <v>46853</v>
      </c>
      <c r="D35" s="171">
        <v>3.2099999999999997E-2</v>
      </c>
      <c r="E35" s="171">
        <v>3.2199999999999999E-2</v>
      </c>
      <c r="F35" s="171">
        <v>3.32E-2</v>
      </c>
    </row>
    <row r="36" spans="3:6" x14ac:dyDescent="0.2">
      <c r="C36" s="229">
        <v>46882</v>
      </c>
      <c r="D36" s="171">
        <v>3.2099999999999997E-2</v>
      </c>
      <c r="E36" s="171">
        <v>3.2099999999999997E-2</v>
      </c>
      <c r="F36" s="171">
        <v>3.32E-2</v>
      </c>
    </row>
    <row r="37" spans="3:6" x14ac:dyDescent="0.2">
      <c r="C37" s="229">
        <v>46913</v>
      </c>
      <c r="D37" s="171">
        <v>3.2099999999999997E-2</v>
      </c>
      <c r="E37" s="171">
        <v>3.2099999999999997E-2</v>
      </c>
      <c r="F37" s="171">
        <v>3.32E-2</v>
      </c>
    </row>
    <row r="38" spans="3:6" x14ac:dyDescent="0.2">
      <c r="C38" s="229">
        <v>46944</v>
      </c>
      <c r="D38" s="171">
        <v>3.2099999999999997E-2</v>
      </c>
      <c r="E38" s="171">
        <v>3.2199999999999999E-2</v>
      </c>
      <c r="F38" s="171">
        <v>3.32E-2</v>
      </c>
    </row>
    <row r="39" spans="3:6" x14ac:dyDescent="0.2">
      <c r="C39" s="229">
        <v>46974</v>
      </c>
      <c r="D39" s="171">
        <v>3.2099999999999997E-2</v>
      </c>
      <c r="E39" s="171">
        <v>3.2399999999999998E-2</v>
      </c>
      <c r="F39" s="171">
        <v>3.32E-2</v>
      </c>
    </row>
    <row r="40" spans="3:6" x14ac:dyDescent="0.2">
      <c r="C40" s="229">
        <v>47007</v>
      </c>
      <c r="D40" s="171">
        <v>3.2099999999999997E-2</v>
      </c>
      <c r="E40" s="171">
        <v>3.2899999999999999E-2</v>
      </c>
      <c r="F40" s="171">
        <v>3.32E-2</v>
      </c>
    </row>
    <row r="41" spans="3:6" x14ac:dyDescent="0.2">
      <c r="C41" s="229">
        <v>47036</v>
      </c>
      <c r="D41" s="171">
        <v>3.32E-2</v>
      </c>
      <c r="E41" s="171">
        <v>3.3500000000000002E-2</v>
      </c>
      <c r="F41" s="171">
        <v>3.4500000000000003E-2</v>
      </c>
    </row>
    <row r="42" spans="3:6" x14ac:dyDescent="0.2">
      <c r="C42" s="229">
        <v>47066</v>
      </c>
      <c r="D42" s="171">
        <v>3.3500000000000002E-2</v>
      </c>
      <c r="E42" s="171">
        <v>3.3500000000000002E-2</v>
      </c>
      <c r="F42" s="171">
        <v>3.4700000000000002E-2</v>
      </c>
    </row>
    <row r="43" spans="3:6" x14ac:dyDescent="0.2">
      <c r="C43" s="229">
        <v>47098</v>
      </c>
      <c r="D43" s="171">
        <v>3.3500000000000002E-2</v>
      </c>
      <c r="E43" s="171">
        <v>3.3500000000000002E-2</v>
      </c>
      <c r="F43" s="171">
        <v>3.4700000000000002E-2</v>
      </c>
    </row>
    <row r="44" spans="3:6" x14ac:dyDescent="0.2">
      <c r="C44" s="229">
        <v>47127</v>
      </c>
      <c r="D44" s="171">
        <v>3.3500000000000002E-2</v>
      </c>
      <c r="E44" s="171">
        <v>3.3599999999999998E-2</v>
      </c>
      <c r="F44" s="171">
        <v>3.4700000000000002E-2</v>
      </c>
    </row>
    <row r="45" spans="3:6" x14ac:dyDescent="0.2">
      <c r="C45" s="229">
        <v>47158</v>
      </c>
      <c r="D45" s="171">
        <v>3.3500000000000002E-2</v>
      </c>
      <c r="E45" s="171">
        <v>3.3500000000000002E-2</v>
      </c>
      <c r="F45" s="171">
        <v>3.4700000000000002E-2</v>
      </c>
    </row>
    <row r="46" spans="3:6" x14ac:dyDescent="0.2">
      <c r="C46" s="229">
        <v>47186</v>
      </c>
      <c r="D46" s="171">
        <v>3.3500000000000002E-2</v>
      </c>
      <c r="E46" s="171">
        <v>3.3500000000000002E-2</v>
      </c>
      <c r="F46" s="171">
        <v>3.4700000000000002E-2</v>
      </c>
    </row>
    <row r="47" spans="3:6" x14ac:dyDescent="0.2">
      <c r="C47" s="229">
        <v>47217</v>
      </c>
      <c r="D47" s="171">
        <v>3.3500000000000002E-2</v>
      </c>
      <c r="E47" s="171">
        <v>3.3599999999999998E-2</v>
      </c>
      <c r="F47" s="171">
        <v>3.4700000000000002E-2</v>
      </c>
    </row>
    <row r="48" spans="3:6" x14ac:dyDescent="0.2">
      <c r="C48" s="229">
        <v>47247</v>
      </c>
      <c r="D48" s="171">
        <v>3.3500000000000002E-2</v>
      </c>
      <c r="E48" s="171">
        <v>3.3500000000000002E-2</v>
      </c>
      <c r="F48" s="171">
        <v>3.4700000000000002E-2</v>
      </c>
    </row>
    <row r="49" spans="3:6" x14ac:dyDescent="0.2">
      <c r="C49" s="229">
        <v>47280</v>
      </c>
      <c r="D49" s="171">
        <v>3.3500000000000002E-2</v>
      </c>
      <c r="E49" s="171">
        <v>3.3500000000000002E-2</v>
      </c>
      <c r="F49" s="171">
        <v>3.4700000000000002E-2</v>
      </c>
    </row>
    <row r="50" spans="3:6" x14ac:dyDescent="0.2">
      <c r="C50" s="229">
        <v>47308</v>
      </c>
      <c r="D50" s="171">
        <v>3.3500000000000002E-2</v>
      </c>
      <c r="E50" s="171">
        <v>3.3599999999999998E-2</v>
      </c>
      <c r="F50" s="171">
        <v>3.4700000000000002E-2</v>
      </c>
    </row>
    <row r="51" spans="3:6" x14ac:dyDescent="0.2">
      <c r="C51" s="229">
        <v>47339</v>
      </c>
      <c r="D51" s="171">
        <v>3.3500000000000002E-2</v>
      </c>
      <c r="E51" s="171">
        <v>3.3799999999999997E-2</v>
      </c>
      <c r="F51" s="171">
        <v>3.4700000000000002E-2</v>
      </c>
    </row>
    <row r="52" spans="3:6" x14ac:dyDescent="0.2">
      <c r="C52" s="229">
        <v>47371</v>
      </c>
      <c r="D52" s="171">
        <v>3.3500000000000002E-2</v>
      </c>
      <c r="E52" s="171">
        <v>3.4299999999999997E-2</v>
      </c>
      <c r="F52" s="171">
        <v>3.4700000000000002E-2</v>
      </c>
    </row>
    <row r="53" spans="3:6" x14ac:dyDescent="0.2">
      <c r="C53" s="229">
        <v>47400</v>
      </c>
      <c r="D53" s="171">
        <v>3.4700000000000002E-2</v>
      </c>
      <c r="E53" s="171">
        <v>3.49E-2</v>
      </c>
      <c r="F53" s="171">
        <v>3.5900000000000001E-2</v>
      </c>
    </row>
    <row r="54" spans="3:6" x14ac:dyDescent="0.2">
      <c r="C54" s="229">
        <v>47431</v>
      </c>
      <c r="D54" s="171">
        <v>3.49E-2</v>
      </c>
      <c r="E54" s="171">
        <v>3.49E-2</v>
      </c>
      <c r="F54" s="171">
        <v>3.61E-2</v>
      </c>
    </row>
    <row r="55" spans="3:6" x14ac:dyDescent="0.2">
      <c r="C55" s="229">
        <v>47462</v>
      </c>
      <c r="D55" s="171">
        <v>3.49E-2</v>
      </c>
      <c r="E55" s="171">
        <v>3.49E-2</v>
      </c>
      <c r="F55" s="171">
        <v>3.61E-2</v>
      </c>
    </row>
    <row r="56" spans="3:6" x14ac:dyDescent="0.2">
      <c r="C56" s="229">
        <v>47492</v>
      </c>
      <c r="D56" s="171">
        <v>3.49E-2</v>
      </c>
      <c r="E56" s="171">
        <v>3.5000000000000003E-2</v>
      </c>
      <c r="F56" s="171">
        <v>3.61E-2</v>
      </c>
    </row>
    <row r="57" spans="3:6" x14ac:dyDescent="0.2">
      <c r="C57" s="229">
        <v>47525</v>
      </c>
      <c r="D57" s="171">
        <v>3.49E-2</v>
      </c>
      <c r="E57" s="171">
        <v>3.49E-2</v>
      </c>
      <c r="F57" s="171">
        <v>3.61E-2</v>
      </c>
    </row>
    <row r="58" spans="3:6" x14ac:dyDescent="0.2">
      <c r="C58" s="229">
        <v>47553</v>
      </c>
      <c r="D58" s="171">
        <v>3.49E-2</v>
      </c>
      <c r="E58" s="171">
        <v>3.49E-2</v>
      </c>
      <c r="F58" s="171">
        <v>3.61E-2</v>
      </c>
    </row>
    <row r="59" spans="3:6" x14ac:dyDescent="0.2">
      <c r="C59" s="229">
        <v>47582</v>
      </c>
      <c r="D59" s="171">
        <v>3.49E-2</v>
      </c>
      <c r="E59" s="171">
        <v>3.5000000000000003E-2</v>
      </c>
      <c r="F59" s="171">
        <v>3.61E-2</v>
      </c>
    </row>
    <row r="60" spans="3:6" x14ac:dyDescent="0.2">
      <c r="C60" s="229">
        <v>47612</v>
      </c>
      <c r="D60" s="171">
        <v>3.49E-2</v>
      </c>
      <c r="E60" s="171">
        <v>3.49E-2</v>
      </c>
      <c r="F60" s="171">
        <v>3.61E-2</v>
      </c>
    </row>
    <row r="61" spans="3:6" x14ac:dyDescent="0.2">
      <c r="C61" s="229">
        <v>47644</v>
      </c>
      <c r="D61" s="171">
        <v>3.49E-2</v>
      </c>
      <c r="E61" s="171">
        <v>3.49E-2</v>
      </c>
      <c r="F61" s="171">
        <v>3.61E-2</v>
      </c>
    </row>
    <row r="62" spans="3:6" x14ac:dyDescent="0.2">
      <c r="C62" s="229">
        <v>47673</v>
      </c>
      <c r="D62" s="171">
        <v>3.49E-2</v>
      </c>
      <c r="E62" s="171">
        <v>3.5000000000000003E-2</v>
      </c>
      <c r="F62" s="171">
        <v>3.61E-2</v>
      </c>
    </row>
    <row r="63" spans="3:6" x14ac:dyDescent="0.2">
      <c r="C63" s="229">
        <v>47704</v>
      </c>
      <c r="D63" s="171">
        <v>3.49E-2</v>
      </c>
      <c r="E63" s="171">
        <v>3.5400000000000001E-2</v>
      </c>
      <c r="F63" s="171">
        <v>3.61E-2</v>
      </c>
    </row>
    <row r="64" spans="3:6" x14ac:dyDescent="0.2">
      <c r="C64" s="229">
        <v>47735</v>
      </c>
      <c r="D64" s="171">
        <v>3.49E-2</v>
      </c>
      <c r="E64" s="171">
        <v>3.5900000000000001E-2</v>
      </c>
      <c r="F64" s="171">
        <v>3.61E-2</v>
      </c>
    </row>
    <row r="65" spans="3:6" x14ac:dyDescent="0.2">
      <c r="C65" s="229">
        <v>47765</v>
      </c>
      <c r="D65" s="171">
        <v>3.6299999999999999E-2</v>
      </c>
      <c r="E65" s="171">
        <v>3.6600000000000001E-2</v>
      </c>
      <c r="F65" s="171">
        <v>3.7600000000000001E-2</v>
      </c>
    </row>
    <row r="66" spans="3:6" x14ac:dyDescent="0.2">
      <c r="C66" s="229">
        <v>47799</v>
      </c>
      <c r="D66" s="171">
        <v>3.6600000000000001E-2</v>
      </c>
      <c r="E66" s="171">
        <v>3.6600000000000001E-2</v>
      </c>
      <c r="F66" s="171">
        <v>3.78E-2</v>
      </c>
    </row>
    <row r="67" spans="3:6" x14ac:dyDescent="0.2">
      <c r="C67" s="229">
        <v>47826</v>
      </c>
      <c r="D67" s="171">
        <v>3.6600000000000001E-2</v>
      </c>
      <c r="E67" s="171">
        <v>3.6600000000000001E-2</v>
      </c>
      <c r="F67" s="171">
        <v>3.78E-2</v>
      </c>
    </row>
    <row r="68" spans="3:6" x14ac:dyDescent="0.2">
      <c r="C68" s="229">
        <v>47857</v>
      </c>
      <c r="D68" s="171">
        <v>3.6600000000000001E-2</v>
      </c>
      <c r="E68" s="171">
        <v>3.6700000000000003E-2</v>
      </c>
      <c r="F68" s="171">
        <v>3.78E-2</v>
      </c>
    </row>
    <row r="69" spans="3:6" x14ac:dyDescent="0.2">
      <c r="C69" s="229">
        <v>47889</v>
      </c>
      <c r="D69" s="171">
        <v>3.6600000000000001E-2</v>
      </c>
      <c r="E69" s="171">
        <v>3.6600000000000001E-2</v>
      </c>
      <c r="F69" s="171">
        <v>3.78E-2</v>
      </c>
    </row>
    <row r="70" spans="3:6" x14ac:dyDescent="0.2">
      <c r="C70" s="229">
        <v>47917</v>
      </c>
      <c r="D70" s="171">
        <v>3.6600000000000001E-2</v>
      </c>
      <c r="E70" s="171">
        <v>3.6600000000000001E-2</v>
      </c>
      <c r="F70" s="171">
        <v>3.78E-2</v>
      </c>
    </row>
    <row r="71" spans="3:6" x14ac:dyDescent="0.2">
      <c r="C71" s="229">
        <v>47947</v>
      </c>
      <c r="D71" s="171">
        <v>3.6600000000000001E-2</v>
      </c>
      <c r="E71" s="171">
        <v>3.6700000000000003E-2</v>
      </c>
      <c r="F71" s="171">
        <v>3.78E-2</v>
      </c>
    </row>
    <row r="72" spans="3:6" x14ac:dyDescent="0.2">
      <c r="C72" s="229">
        <v>47977</v>
      </c>
      <c r="D72" s="171">
        <v>3.6600000000000001E-2</v>
      </c>
      <c r="E72" s="171">
        <v>3.6600000000000001E-2</v>
      </c>
      <c r="F72" s="171">
        <v>3.78E-2</v>
      </c>
    </row>
    <row r="73" spans="3:6" x14ac:dyDescent="0.2">
      <c r="C73" s="229">
        <v>48008</v>
      </c>
      <c r="D73" s="171">
        <v>3.6600000000000001E-2</v>
      </c>
      <c r="E73" s="171">
        <v>3.6600000000000001E-2</v>
      </c>
      <c r="F73" s="171">
        <v>3.78E-2</v>
      </c>
    </row>
    <row r="74" spans="3:6" x14ac:dyDescent="0.2">
      <c r="C74" s="229">
        <v>48038</v>
      </c>
      <c r="D74" s="171">
        <v>3.6600000000000001E-2</v>
      </c>
      <c r="E74" s="171">
        <v>3.6700000000000003E-2</v>
      </c>
      <c r="F74" s="171">
        <v>3.78E-2</v>
      </c>
    </row>
    <row r="75" spans="3:6" x14ac:dyDescent="0.2">
      <c r="C75" s="229">
        <v>48071</v>
      </c>
      <c r="D75" s="171">
        <v>3.6600000000000001E-2</v>
      </c>
      <c r="E75" s="171">
        <v>3.6999999999999998E-2</v>
      </c>
      <c r="F75" s="171">
        <v>3.78E-2</v>
      </c>
    </row>
    <row r="76" spans="3:6" x14ac:dyDescent="0.2">
      <c r="C76" s="229">
        <v>48100</v>
      </c>
      <c r="D76" s="171">
        <v>3.6600000000000001E-2</v>
      </c>
      <c r="E76" s="171">
        <v>3.7499999999999999E-2</v>
      </c>
      <c r="F76" s="171">
        <v>3.78E-2</v>
      </c>
    </row>
    <row r="77" spans="3:6" x14ac:dyDescent="0.2">
      <c r="C77" s="229">
        <v>48130</v>
      </c>
      <c r="D77" s="171">
        <v>3.7999999999999999E-2</v>
      </c>
      <c r="E77" s="171">
        <v>3.8199999999999998E-2</v>
      </c>
      <c r="F77" s="171">
        <v>3.9100000000000003E-2</v>
      </c>
    </row>
    <row r="78" spans="3:6" x14ac:dyDescent="0.2">
      <c r="C78" s="229">
        <v>48162</v>
      </c>
      <c r="D78" s="171">
        <v>3.8100000000000002E-2</v>
      </c>
      <c r="E78" s="171">
        <v>3.8100000000000002E-2</v>
      </c>
      <c r="F78" s="171">
        <v>3.9199999999999999E-2</v>
      </c>
    </row>
    <row r="79" spans="3:6" x14ac:dyDescent="0.2">
      <c r="C79" s="229">
        <v>48191</v>
      </c>
      <c r="D79" s="171">
        <v>3.8100000000000002E-2</v>
      </c>
      <c r="E79" s="171">
        <v>3.8100000000000002E-2</v>
      </c>
      <c r="F79" s="171">
        <v>3.9199999999999999E-2</v>
      </c>
    </row>
    <row r="80" spans="3:6" x14ac:dyDescent="0.2">
      <c r="C80" s="229">
        <v>48222</v>
      </c>
      <c r="D80" s="171">
        <v>3.8100000000000002E-2</v>
      </c>
      <c r="E80" s="171">
        <v>3.8199999999999998E-2</v>
      </c>
      <c r="F80" s="171">
        <v>3.9199999999999999E-2</v>
      </c>
    </row>
    <row r="81" spans="3:6" x14ac:dyDescent="0.2">
      <c r="C81" s="229">
        <v>48253</v>
      </c>
      <c r="D81" s="171">
        <v>3.8100000000000002E-2</v>
      </c>
      <c r="E81" s="171">
        <v>3.8100000000000002E-2</v>
      </c>
      <c r="F81" s="171">
        <v>3.9199999999999999E-2</v>
      </c>
    </row>
    <row r="82" spans="3:6" x14ac:dyDescent="0.2">
      <c r="C82" s="229">
        <v>48282</v>
      </c>
      <c r="D82" s="171">
        <v>3.8100000000000002E-2</v>
      </c>
      <c r="E82" s="171">
        <v>3.8100000000000002E-2</v>
      </c>
      <c r="F82" s="171">
        <v>3.9199999999999999E-2</v>
      </c>
    </row>
    <row r="83" spans="3:6" x14ac:dyDescent="0.2">
      <c r="C83" s="229">
        <v>48313</v>
      </c>
      <c r="D83" s="171">
        <v>3.8100000000000002E-2</v>
      </c>
      <c r="E83" s="171">
        <v>3.8199999999999998E-2</v>
      </c>
      <c r="F83" s="171">
        <v>3.9199999999999999E-2</v>
      </c>
    </row>
    <row r="84" spans="3:6" x14ac:dyDescent="0.2">
      <c r="C84" s="229">
        <v>48344</v>
      </c>
      <c r="D84" s="171">
        <v>3.8100000000000002E-2</v>
      </c>
      <c r="E84" s="171">
        <v>3.8100000000000002E-2</v>
      </c>
      <c r="F84" s="171">
        <v>3.9199999999999999E-2</v>
      </c>
    </row>
    <row r="85" spans="3:6" x14ac:dyDescent="0.2">
      <c r="C85" s="229">
        <v>48374</v>
      </c>
      <c r="D85" s="171">
        <v>3.8100000000000002E-2</v>
      </c>
      <c r="E85" s="171">
        <v>3.8100000000000002E-2</v>
      </c>
      <c r="F85" s="171">
        <v>3.9199999999999999E-2</v>
      </c>
    </row>
    <row r="86" spans="3:6" x14ac:dyDescent="0.2">
      <c r="C86" s="229">
        <v>48404</v>
      </c>
      <c r="D86" s="171">
        <v>3.8100000000000002E-2</v>
      </c>
      <c r="E86" s="171">
        <v>3.8199999999999998E-2</v>
      </c>
      <c r="F86" s="171">
        <v>3.9199999999999999E-2</v>
      </c>
    </row>
    <row r="87" spans="3:6" x14ac:dyDescent="0.2">
      <c r="C87" s="229">
        <v>48435</v>
      </c>
      <c r="D87" s="171">
        <v>3.8100000000000002E-2</v>
      </c>
      <c r="E87" s="171">
        <v>3.8399999999999997E-2</v>
      </c>
      <c r="F87" s="171">
        <v>3.9199999999999999E-2</v>
      </c>
    </row>
    <row r="88" spans="3:6" x14ac:dyDescent="0.2">
      <c r="C88" s="229">
        <v>48466</v>
      </c>
      <c r="D88" s="171">
        <v>3.8100000000000002E-2</v>
      </c>
      <c r="E88" s="171">
        <v>3.8899999999999997E-2</v>
      </c>
      <c r="F88" s="171">
        <v>3.9199999999999999E-2</v>
      </c>
    </row>
    <row r="89" spans="3:6" x14ac:dyDescent="0.2">
      <c r="C89" s="229">
        <v>48499</v>
      </c>
      <c r="D89" s="171">
        <v>3.9300000000000002E-2</v>
      </c>
      <c r="E89" s="171">
        <v>3.95E-2</v>
      </c>
      <c r="F89" s="171">
        <v>4.0599999999999997E-2</v>
      </c>
    </row>
    <row r="90" spans="3:6" x14ac:dyDescent="0.2">
      <c r="C90" s="229">
        <v>48527</v>
      </c>
      <c r="D90" s="171">
        <v>3.9399999999999998E-2</v>
      </c>
      <c r="E90" s="171">
        <v>3.9399999999999998E-2</v>
      </c>
      <c r="F90" s="171">
        <v>4.0599999999999997E-2</v>
      </c>
    </row>
    <row r="91" spans="3:6" x14ac:dyDescent="0.2">
      <c r="C91" s="229">
        <v>48557</v>
      </c>
      <c r="D91" s="171">
        <v>3.9399999999999998E-2</v>
      </c>
      <c r="E91" s="171">
        <v>3.9399999999999998E-2</v>
      </c>
      <c r="F91" s="171">
        <v>4.0599999999999997E-2</v>
      </c>
    </row>
    <row r="92" spans="3:6" x14ac:dyDescent="0.2">
      <c r="C92" s="229">
        <v>48589</v>
      </c>
      <c r="D92" s="171">
        <v>3.95E-2</v>
      </c>
      <c r="E92" s="171">
        <v>3.9600000000000003E-2</v>
      </c>
      <c r="F92" s="171">
        <v>4.0599999999999997E-2</v>
      </c>
    </row>
    <row r="93" spans="3:6" x14ac:dyDescent="0.2">
      <c r="C93" s="229">
        <v>48619</v>
      </c>
      <c r="D93" s="171">
        <v>3.9399999999999998E-2</v>
      </c>
      <c r="E93" s="171">
        <v>3.9399999999999998E-2</v>
      </c>
      <c r="F93" s="171">
        <v>4.0599999999999997E-2</v>
      </c>
    </row>
    <row r="94" spans="3:6" x14ac:dyDescent="0.2">
      <c r="C94" s="229">
        <v>48647</v>
      </c>
      <c r="D94" s="171">
        <v>3.9399999999999998E-2</v>
      </c>
      <c r="E94" s="171">
        <v>3.9399999999999998E-2</v>
      </c>
      <c r="F94" s="171">
        <v>4.0599999999999997E-2</v>
      </c>
    </row>
    <row r="95" spans="3:6" x14ac:dyDescent="0.2">
      <c r="C95" s="229">
        <v>48680</v>
      </c>
      <c r="D95" s="171">
        <v>3.9399999999999998E-2</v>
      </c>
      <c r="E95" s="171">
        <v>3.9600000000000003E-2</v>
      </c>
      <c r="F95" s="171">
        <v>4.0599999999999997E-2</v>
      </c>
    </row>
    <row r="96" spans="3:6" x14ac:dyDescent="0.2">
      <c r="C96" s="229">
        <v>48708</v>
      </c>
      <c r="D96" s="171">
        <v>3.95E-2</v>
      </c>
      <c r="E96" s="171">
        <v>3.9399999999999998E-2</v>
      </c>
      <c r="F96" s="171">
        <v>4.0599999999999997E-2</v>
      </c>
    </row>
    <row r="97" spans="3:6" x14ac:dyDescent="0.2">
      <c r="C97" s="229">
        <v>48739</v>
      </c>
      <c r="D97" s="171">
        <v>3.9399999999999998E-2</v>
      </c>
      <c r="E97" s="171">
        <v>3.9399999999999998E-2</v>
      </c>
      <c r="F97" s="171">
        <v>4.0599999999999997E-2</v>
      </c>
    </row>
    <row r="98" spans="3:6" x14ac:dyDescent="0.2">
      <c r="C98" s="229">
        <v>48771</v>
      </c>
      <c r="D98" s="171">
        <v>3.95E-2</v>
      </c>
      <c r="E98" s="171">
        <v>3.9600000000000003E-2</v>
      </c>
      <c r="F98" s="171">
        <v>4.0599999999999997E-2</v>
      </c>
    </row>
    <row r="99" spans="3:6" x14ac:dyDescent="0.2">
      <c r="C99" s="229">
        <v>48800</v>
      </c>
      <c r="D99" s="171">
        <v>3.9399999999999998E-2</v>
      </c>
      <c r="E99" s="171">
        <v>3.9699999999999999E-2</v>
      </c>
      <c r="F99" s="171">
        <v>4.0599999999999997E-2</v>
      </c>
    </row>
    <row r="100" spans="3:6" x14ac:dyDescent="0.2">
      <c r="C100" s="229">
        <v>48831</v>
      </c>
      <c r="D100" s="171">
        <v>3.9399999999999998E-2</v>
      </c>
      <c r="E100" s="171">
        <v>4.0099999999999997E-2</v>
      </c>
      <c r="F100" s="171">
        <v>4.0599999999999997E-2</v>
      </c>
    </row>
    <row r="101" spans="3:6" x14ac:dyDescent="0.2">
      <c r="C101" s="229">
        <v>48863</v>
      </c>
      <c r="D101" s="171">
        <v>4.0500000000000001E-2</v>
      </c>
      <c r="E101" s="171">
        <v>4.07E-2</v>
      </c>
      <c r="F101" s="171">
        <v>4.1799999999999997E-2</v>
      </c>
    </row>
    <row r="102" spans="3:6" x14ac:dyDescent="0.2">
      <c r="C102" s="229">
        <v>48892</v>
      </c>
      <c r="D102" s="171">
        <v>4.07E-2</v>
      </c>
      <c r="E102" s="171">
        <v>4.0599999999999997E-2</v>
      </c>
      <c r="F102" s="171">
        <v>4.1799999999999997E-2</v>
      </c>
    </row>
    <row r="103" spans="3:6" x14ac:dyDescent="0.2">
      <c r="C103" s="229">
        <v>48922</v>
      </c>
      <c r="D103" s="171">
        <v>4.07E-2</v>
      </c>
      <c r="E103" s="171">
        <v>4.0599999999999997E-2</v>
      </c>
      <c r="F103" s="171">
        <v>4.1799999999999997E-2</v>
      </c>
    </row>
    <row r="104" spans="3:6" x14ac:dyDescent="0.2">
      <c r="C104" s="229">
        <v>48953</v>
      </c>
      <c r="D104" s="171">
        <v>4.07E-2</v>
      </c>
      <c r="E104" s="171">
        <v>4.0800000000000003E-2</v>
      </c>
      <c r="F104" s="171">
        <v>4.1799999999999997E-2</v>
      </c>
    </row>
    <row r="105" spans="3:6" x14ac:dyDescent="0.2">
      <c r="C105" s="229">
        <v>48984</v>
      </c>
      <c r="D105" s="171">
        <v>4.07E-2</v>
      </c>
      <c r="E105" s="171">
        <v>4.07E-2</v>
      </c>
      <c r="F105" s="171">
        <v>4.1799999999999997E-2</v>
      </c>
    </row>
    <row r="106" spans="3:6" x14ac:dyDescent="0.2">
      <c r="C106" s="229">
        <v>49012</v>
      </c>
      <c r="D106" s="171">
        <v>4.07E-2</v>
      </c>
      <c r="E106" s="171">
        <v>4.0599999999999997E-2</v>
      </c>
      <c r="F106" s="171">
        <v>4.1799999999999997E-2</v>
      </c>
    </row>
    <row r="107" spans="3:6" x14ac:dyDescent="0.2">
      <c r="C107" s="229">
        <v>49044</v>
      </c>
      <c r="D107" s="171">
        <v>4.07E-2</v>
      </c>
      <c r="E107" s="171">
        <v>4.0800000000000003E-2</v>
      </c>
      <c r="F107" s="171">
        <v>4.1799999999999997E-2</v>
      </c>
    </row>
    <row r="108" spans="3:6" x14ac:dyDescent="0.2">
      <c r="C108" s="229">
        <v>49073</v>
      </c>
      <c r="D108" s="171">
        <v>4.07E-2</v>
      </c>
      <c r="E108" s="171">
        <v>4.07E-2</v>
      </c>
      <c r="F108" s="171">
        <v>4.1799999999999997E-2</v>
      </c>
    </row>
    <row r="109" spans="3:6" x14ac:dyDescent="0.2">
      <c r="C109" s="229">
        <v>49104</v>
      </c>
      <c r="D109" s="171">
        <v>4.07E-2</v>
      </c>
      <c r="E109" s="171">
        <v>4.07E-2</v>
      </c>
      <c r="F109" s="171">
        <v>4.1799999999999997E-2</v>
      </c>
    </row>
    <row r="110" spans="3:6" x14ac:dyDescent="0.2">
      <c r="C110" s="229">
        <v>49135</v>
      </c>
      <c r="D110" s="171">
        <v>4.07E-2</v>
      </c>
      <c r="E110" s="171">
        <v>4.0800000000000003E-2</v>
      </c>
      <c r="F110" s="171">
        <v>4.1799999999999997E-2</v>
      </c>
    </row>
    <row r="111" spans="3:6" x14ac:dyDescent="0.2">
      <c r="C111" s="229">
        <v>49165</v>
      </c>
      <c r="D111" s="171">
        <v>4.07E-2</v>
      </c>
      <c r="E111" s="171">
        <v>4.0899999999999999E-2</v>
      </c>
      <c r="F111" s="171">
        <v>4.1799999999999997E-2</v>
      </c>
    </row>
    <row r="112" spans="3:6" x14ac:dyDescent="0.2">
      <c r="C112" s="229">
        <v>49198</v>
      </c>
      <c r="D112" s="171">
        <v>4.07E-2</v>
      </c>
      <c r="E112" s="171">
        <v>4.1399999999999999E-2</v>
      </c>
      <c r="F112" s="171">
        <v>4.1799999999999997E-2</v>
      </c>
    </row>
    <row r="113" spans="3:6" x14ac:dyDescent="0.2">
      <c r="C113" s="229">
        <v>49227</v>
      </c>
      <c r="D113" s="171">
        <v>4.1599999999999998E-2</v>
      </c>
      <c r="E113" s="171">
        <v>4.19E-2</v>
      </c>
      <c r="F113" s="171">
        <v>4.2900000000000001E-2</v>
      </c>
    </row>
    <row r="114" spans="3:6" x14ac:dyDescent="0.2">
      <c r="C114" s="229">
        <v>49257</v>
      </c>
      <c r="D114" s="171">
        <v>4.19E-2</v>
      </c>
      <c r="E114" s="171">
        <v>4.19E-2</v>
      </c>
      <c r="F114" s="171">
        <v>4.3099999999999999E-2</v>
      </c>
    </row>
    <row r="115" spans="3:6" x14ac:dyDescent="0.2">
      <c r="C115" s="229">
        <v>49289</v>
      </c>
      <c r="D115" s="171">
        <v>4.19E-2</v>
      </c>
      <c r="E115" s="171">
        <v>4.19E-2</v>
      </c>
      <c r="F115" s="171">
        <v>4.3099999999999999E-2</v>
      </c>
    </row>
    <row r="116" spans="3:6" x14ac:dyDescent="0.2">
      <c r="C116" s="229">
        <v>49318</v>
      </c>
      <c r="D116" s="171">
        <v>4.19E-2</v>
      </c>
      <c r="E116" s="171">
        <v>4.2000000000000003E-2</v>
      </c>
      <c r="F116" s="171">
        <v>4.3099999999999999E-2</v>
      </c>
    </row>
    <row r="117" spans="3:6" x14ac:dyDescent="0.2">
      <c r="C117" s="229">
        <v>49349</v>
      </c>
      <c r="D117" s="171">
        <v>4.19E-2</v>
      </c>
      <c r="E117" s="171">
        <v>4.19E-2</v>
      </c>
      <c r="F117" s="171">
        <v>4.3099999999999999E-2</v>
      </c>
    </row>
    <row r="118" spans="3:6" x14ac:dyDescent="0.2">
      <c r="C118" s="229">
        <v>49377</v>
      </c>
      <c r="D118" s="171">
        <v>4.19E-2</v>
      </c>
      <c r="E118" s="171">
        <v>4.19E-2</v>
      </c>
      <c r="F118" s="171">
        <v>4.3099999999999999E-2</v>
      </c>
    </row>
    <row r="119" spans="3:6" x14ac:dyDescent="0.2">
      <c r="C119" s="229">
        <v>49408</v>
      </c>
      <c r="D119" s="171">
        <v>4.19E-2</v>
      </c>
      <c r="E119" s="171">
        <v>4.2000000000000003E-2</v>
      </c>
      <c r="F119" s="171">
        <v>4.3099999999999999E-2</v>
      </c>
    </row>
    <row r="120" spans="3:6" x14ac:dyDescent="0.2">
      <c r="C120" s="229">
        <v>49438</v>
      </c>
      <c r="D120" s="171">
        <v>4.19E-2</v>
      </c>
      <c r="E120" s="171">
        <v>4.19E-2</v>
      </c>
      <c r="F120" s="171">
        <v>4.3099999999999999E-2</v>
      </c>
    </row>
    <row r="121" spans="3:6" x14ac:dyDescent="0.2">
      <c r="C121" s="229">
        <v>49471</v>
      </c>
      <c r="D121" s="171">
        <v>4.19E-2</v>
      </c>
      <c r="E121" s="171">
        <v>4.19E-2</v>
      </c>
      <c r="F121" s="171">
        <v>4.3099999999999999E-2</v>
      </c>
    </row>
    <row r="122" spans="3:6" x14ac:dyDescent="0.2">
      <c r="C122" s="229">
        <v>49499</v>
      </c>
      <c r="D122" s="171">
        <v>4.19E-2</v>
      </c>
      <c r="E122" s="171">
        <v>4.2000000000000003E-2</v>
      </c>
      <c r="F122" s="171">
        <v>4.3099999999999999E-2</v>
      </c>
    </row>
    <row r="123" spans="3:6" x14ac:dyDescent="0.2">
      <c r="C123" s="229">
        <v>49530</v>
      </c>
      <c r="D123" s="171">
        <v>4.19E-2</v>
      </c>
      <c r="E123" s="171">
        <v>4.2200000000000001E-2</v>
      </c>
      <c r="F123" s="171">
        <v>4.3099999999999999E-2</v>
      </c>
    </row>
    <row r="124" spans="3:6" x14ac:dyDescent="0.2">
      <c r="C124" s="229">
        <v>49562</v>
      </c>
      <c r="D124" s="171">
        <v>4.19E-2</v>
      </c>
      <c r="E124" s="171">
        <v>4.2799999999999998E-2</v>
      </c>
      <c r="F124" s="171">
        <v>4.3099999999999999E-2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</vt:i4>
      </vt:variant>
    </vt:vector>
  </HeadingPairs>
  <TitlesOfParts>
    <vt:vector size="15" baseType="lpstr">
      <vt:lpstr>Valuation Summary</vt:lpstr>
      <vt:lpstr>IS</vt:lpstr>
      <vt:lpstr>BS</vt:lpstr>
      <vt:lpstr>CFS</vt:lpstr>
      <vt:lpstr>NWC</vt:lpstr>
      <vt:lpstr>Debt Schedule</vt:lpstr>
      <vt:lpstr>Maturity Schedule</vt:lpstr>
      <vt:lpstr>DCF</vt:lpstr>
      <vt:lpstr>Liquidation Value</vt:lpstr>
      <vt:lpstr>Trading Comps</vt:lpstr>
      <vt:lpstr>Precedent Transactions </vt:lpstr>
      <vt:lpstr>Forecast Assumptions</vt:lpstr>
      <vt:lpstr>Revenue Build</vt:lpstr>
      <vt:lpstr>SOFR Forward Rate Curve</vt:lpstr>
      <vt:lpstr>'Liquidation Value'!Print_Area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Ernest</dc:creator>
  <cp:lastModifiedBy>Aaron Ernest</cp:lastModifiedBy>
  <cp:lastPrinted>2025-11-09T20:35:01Z</cp:lastPrinted>
  <dcterms:created xsi:type="dcterms:W3CDTF">2015-06-05T18:17:20Z</dcterms:created>
  <dcterms:modified xsi:type="dcterms:W3CDTF">2025-11-15T14:43:49Z</dcterms:modified>
</cp:coreProperties>
</file>